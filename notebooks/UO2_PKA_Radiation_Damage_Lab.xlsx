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https://lanl-my.sharepoint.com/personal/372600_win_lanl_gov/Documents/SummerSchool/"/>
    </mc:Choice>
  </mc:AlternateContent>
  <xr:revisionPtr revIDLastSave="24" documentId="8_{C34DC721-32AD-6D43-9E82-3B6D4600A16D}" xr6:coauthVersionLast="47" xr6:coauthVersionMax="47" xr10:uidLastSave="{13453998-EF09-2C46-A8E0-8F10FD93794B}"/>
  <bookViews>
    <workbookView xWindow="2400" yWindow="700" windowWidth="30240" windowHeight="20720" activeTab="3" xr2:uid="{00000000-000D-0000-FFFF-FFFF00000000}"/>
  </bookViews>
  <sheets>
    <sheet name="Run Log" sheetId="1" r:id="rId1"/>
    <sheet name="Dashboard" sheetId="2" r:id="rId2"/>
    <sheet name="Instructions" sheetId="3" r:id="rId3"/>
    <sheet name="Tasks" sheetId="4" r:id="rId4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1" l="1"/>
  <c r="A12" i="1"/>
  <c r="A13" i="1"/>
  <c r="A14" i="1"/>
  <c r="A15" i="1"/>
  <c r="A16" i="1"/>
  <c r="B15" i="2"/>
  <c r="E4" i="2"/>
  <c r="E5" i="2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5" i="1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2" i="2"/>
  <c r="C12" i="2"/>
  <c r="B12" i="2"/>
  <c r="A12" i="2"/>
  <c r="D11" i="2"/>
  <c r="C11" i="2"/>
  <c r="B11" i="2"/>
  <c r="A11" i="2"/>
  <c r="D13" i="2"/>
  <c r="C13" i="2"/>
  <c r="B13" i="2"/>
  <c r="A13" i="2"/>
  <c r="D14" i="2"/>
  <c r="C14" i="2"/>
  <c r="B14" i="2"/>
  <c r="A14" i="2"/>
  <c r="D15" i="2"/>
  <c r="C15" i="2"/>
  <c r="A15" i="2"/>
  <c r="D10" i="2"/>
  <c r="C10" i="2"/>
  <c r="B10" i="2"/>
  <c r="A10" i="2"/>
  <c r="E6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F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Copy residual_displaced from the Atomify RESULT line.</t>
        </r>
      </text>
    </comment>
    <comment ref="G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Copy final_MSD_A2 from the Atomify RESULT line.</t>
        </r>
      </text>
    </comment>
    <comment ref="H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Copy max_displacement_A from the Atomify RESULT line.</t>
        </r>
      </text>
    </comment>
  </commentList>
</comments>
</file>

<file path=xl/sharedStrings.xml><?xml version="1.0" encoding="utf-8"?>
<sst xmlns="http://schemas.openxmlformats.org/spreadsheetml/2006/main" count="42" uniqueCount="36">
  <si>
    <t>PKA Radiation-Damage Dashboard</t>
  </si>
  <si>
    <t>Controls</t>
  </si>
  <si>
    <t>Threshold estimate</t>
  </si>
  <si>
    <t>PKA species</t>
  </si>
  <si>
    <t>O</t>
  </si>
  <si>
    <t>Highest undamaged energy (eV)</t>
  </si>
  <si>
    <t>Direction</t>
  </si>
  <si>
    <t>Lowest damaged energy (eV)</t>
  </si>
  <si>
    <t>Apparent threshold bracket</t>
  </si>
  <si>
    <t>Plot data (selected species and direction)</t>
  </si>
  <si>
    <t>Energy (eV)</t>
  </si>
  <si>
    <t>Residual displaced</t>
  </si>
  <si>
    <t>Final MSD (A^2)</t>
  </si>
  <si>
    <t>Max displacement (A)</t>
  </si>
  <si>
    <t>UO2 Primary Knock-On Atom (PKA) Radiation-Damage Run Log</t>
  </si>
  <si>
    <t>Run #</t>
  </si>
  <si>
    <t>Temperature (K)</t>
  </si>
  <si>
    <t>Residual displaced atoms</t>
  </si>
  <si>
    <t>Goal</t>
  </si>
  <si>
    <t>Estimate how an oxygen or uranium primary knock-on atom (PKA) perturbs UO2 and bracket an apparent threshold displacement energy for a chosen crystallographic direction.</t>
  </si>
  <si>
    <t>1. Run Atomify</t>
  </si>
  <si>
    <t>Choose a PKA species, direction, and energy. Keep the other settings fixed while performing an energy sweep.</t>
  </si>
  <si>
    <t>2. Record the result</t>
  </si>
  <si>
    <t>After the simulation finishes, copy the values from the RESULT line into the Run Log sheet. At minimum enter Energy, Residual displaced atoms, Final MSD, and Max displacement.</t>
  </si>
  <si>
    <t>3. Repeat</t>
  </si>
  <si>
    <t>Suggested first sweep: 50, 75, 100, 125, and 150 eV. If the transition occurs between two energies, add intermediate energies to narrow the bracket.</t>
  </si>
  <si>
    <t>4. View Dashboard</t>
  </si>
  <si>
    <t>Choose the PKA species and direction on the Dashboard. The plots update from the Run Log and the threshold bracket is estimated automatically.</t>
  </si>
  <si>
    <t>Interpretation</t>
  </si>
  <si>
    <t>Residual displaced atoms = 0 means no atoms remain beyond the chosen displacement cutoff at the end of the trajectory. A nonzero value indicates persistent displacement by this teaching metric.</t>
  </si>
  <si>
    <t>Important limitation</t>
  </si>
  <si>
    <t>This workbook reports an apparent threshold for this finite cell, potential, temperature, trajectory length, direction, and displacement criterion. It is not a definitive experimental threshold displacement energy.</t>
  </si>
  <si>
    <t>Example Atomify output</t>
  </si>
  <si>
    <t>RESULT: EPKA=150 residual_displaced=4 final_MSD_A2=0.090578... max_displacement_A=4.117...</t>
  </si>
  <si>
    <t>Guide: PKA Radiation-Damage Energy Sweep</t>
  </si>
  <si>
    <t>Enter one row after each Atomify run. Blue text = input; green text = copied from Atomify output.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</si>
</sst>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6" x14ac:knownFonts="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rgb="FF0000FF"/>
      <name val="Calibri"/>
      <family val="2"/>
    </font>
    <font>
      <sz val="11"/>
      <color rgb="FF008000"/>
      <name val="Calibri"/>
      <family val="2"/>
    </font>
    <font>
      <b/>
      <sz val="20"/>
      <color rgb="FFFFFFFF"/>
      <name val="Calibri"/>
      <family val="2"/>
    </font>
    <font>
      <b/>
      <sz val="11"/>
      <color rgb="FF0000FF"/>
      <name val="Calibri"/>
      <family val="2"/>
    </font>
    <font>
      <b/>
      <sz val="11"/>
      <color rgb="FF000000"/>
      <name val="Calibri"/>
      <family val="2"/>
    </font>
    <font>
      <sz val="8"/>
      <color rgb="FF7F7F7F"/>
      <name val="Calibri"/>
      <family val="2"/>
    </font>
    <font>
      <b/>
      <sz val="19"/>
      <color rgb="FFFFFFFF"/>
      <name val="Calibri"/>
      <family val="2"/>
    </font>
    <font>
      <b/>
      <sz val="12"/>
      <color rgb="FF17365D"/>
      <name val="Calibri"/>
      <family val="2"/>
    </font>
    <font>
      <sz val="11"/>
      <name val="Calibri"/>
      <family val="2"/>
    </font>
    <font>
      <sz val="10"/>
      <color rgb="FF008000"/>
      <name val="Courier New"/>
      <family val="1"/>
    </font>
    <font>
      <i/>
      <sz val="14"/>
      <color rgb="FF666666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7030A0"/>
      </patternFill>
    </fill>
    <fill>
      <patternFill patternType="solid">
        <fgColor rgb="FF008C95"/>
      </patternFill>
    </fill>
    <fill>
      <patternFill patternType="solid">
        <fgColor rgb="FFDDEBF7"/>
      </patternFill>
    </fill>
    <fill>
      <patternFill patternType="solid">
        <fgColor rgb="FF5B9BD5"/>
      </patternFill>
    </fill>
  </fills>
  <borders count="2">
    <border>
      <left/>
      <right/>
      <top/>
      <bottom/>
      <diagonal/>
    </border>
    <border>
      <left/>
      <right/>
      <top/>
      <bottom style="hair">
        <color rgb="FFD9D9D9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3" fillId="3" borderId="1" xfId="0" applyFont="1" applyFill="1" applyBorder="1" applyAlignment="1">
      <alignment vertical="center"/>
    </xf>
    <xf numFmtId="164" fontId="3" fillId="3" borderId="1" xfId="0" applyNumberFormat="1" applyFont="1" applyFill="1" applyBorder="1" applyAlignment="1">
      <alignment vertical="center"/>
    </xf>
    <xf numFmtId="1" fontId="3" fillId="3" borderId="1" xfId="0" applyNumberFormat="1" applyFont="1" applyFill="1" applyBorder="1" applyAlignment="1">
      <alignment vertical="center"/>
    </xf>
    <xf numFmtId="1" fontId="4" fillId="4" borderId="1" xfId="0" applyNumberFormat="1" applyFont="1" applyFill="1" applyBorder="1" applyAlignment="1">
      <alignment vertical="center"/>
    </xf>
    <xf numFmtId="165" fontId="4" fillId="4" borderId="1" xfId="0" applyNumberFormat="1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2" fillId="5" borderId="0" xfId="0" applyFont="1" applyFill="1"/>
    <xf numFmtId="0" fontId="2" fillId="6" borderId="0" xfId="0" applyFont="1" applyFill="1"/>
    <xf numFmtId="0" fontId="6" fillId="3" borderId="0" xfId="0" applyFont="1" applyFill="1"/>
    <xf numFmtId="0" fontId="7" fillId="7" borderId="0" xfId="0" applyFont="1" applyFill="1"/>
    <xf numFmtId="0" fontId="2" fillId="2" borderId="0" xfId="0" applyFont="1" applyFill="1"/>
    <xf numFmtId="0" fontId="2" fillId="8" borderId="0" xfId="0" applyFont="1" applyFill="1"/>
    <xf numFmtId="164" fontId="8" fillId="0" borderId="0" xfId="0" applyNumberFormat="1" applyFont="1"/>
    <xf numFmtId="165" fontId="8" fillId="0" borderId="0" xfId="0" applyNumberFormat="1" applyFont="1"/>
    <xf numFmtId="0" fontId="11" fillId="0" borderId="0" xfId="0" applyFont="1" applyAlignment="1">
      <alignment vertical="top" wrapText="1"/>
    </xf>
    <xf numFmtId="0" fontId="12" fillId="4" borderId="0" xfId="0" applyFont="1" applyFill="1" applyAlignment="1">
      <alignment wrapText="1"/>
    </xf>
    <xf numFmtId="0" fontId="10" fillId="0" borderId="0" xfId="0" applyFont="1" applyAlignment="1">
      <alignment vertical="top"/>
    </xf>
    <xf numFmtId="0" fontId="0" fillId="0" borderId="0" xfId="0" applyAlignment="1">
      <alignment vertical="top"/>
    </xf>
    <xf numFmtId="15" fontId="0" fillId="0" borderId="0" xfId="0" applyNumberFormat="1"/>
    <xf numFmtId="0" fontId="13" fillId="0" borderId="0" xfId="0" applyFont="1" applyAlignment="1">
      <alignment wrapText="1"/>
    </xf>
    <xf numFmtId="0" fontId="14" fillId="0" borderId="0" xfId="0" applyFont="1"/>
    <xf numFmtId="0" fontId="1" fillId="2" borderId="0" xfId="0" applyFont="1" applyFill="1" applyAlignment="1">
      <alignment horizontal="left" vertical="center"/>
    </xf>
    <xf numFmtId="0" fontId="0" fillId="0" borderId="0" xfId="0"/>
    <xf numFmtId="0" fontId="5" fillId="2" borderId="0" xfId="0" applyFont="1" applyFill="1" applyAlignment="1">
      <alignment horizontal="left"/>
    </xf>
    <xf numFmtId="0" fontId="9" fillId="2" borderId="0" xfId="0" applyFont="1" applyFill="1"/>
  </cellXfs>
  <cellStyles count="1">
    <cellStyle name="Normal" xfId="0" builtinId="0"/>
  </cellStyles>
  <dxfs count="1"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Residual displaced atoms vs PKA energy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597834645669298E-2"/>
          <c:y val="4.8506944444444443E-2"/>
          <c:w val="0.85626476377952754"/>
          <c:h val="0.82714652777777775"/>
        </c:manualLayout>
      </c:layout>
      <c:scatterChart>
        <c:scatterStyle val="lineMarker"/>
        <c:varyColors val="1"/>
        <c:ser>
          <c:idx val="0"/>
          <c:order val="0"/>
          <c:tx>
            <c:v>Residual displaced atoms</c:v>
          </c:tx>
          <c:marker>
            <c:symbol val="circle"/>
            <c:size val="5"/>
          </c:marker>
          <c:dPt>
            <c:idx val="0"/>
            <c:marker>
              <c:spPr>
                <a:gradFill rotWithShape="1">
                  <a:gsLst>
                    <a:gs pos="0">
                      <a:schemeClr val="accent3">
                        <a:shade val="31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31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31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31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31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3AC-9941-894A-EF0A7DB5A045}"/>
              </c:ext>
            </c:extLst>
          </c:dPt>
          <c:dPt>
            <c:idx val="1"/>
            <c:marker>
              <c:spPr>
                <a:gradFill rotWithShape="1">
                  <a:gsLst>
                    <a:gs pos="0">
                      <a:schemeClr val="accent3">
                        <a:shade val="32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32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32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32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32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3AC-9941-894A-EF0A7DB5A045}"/>
              </c:ext>
            </c:extLst>
          </c:dPt>
          <c:dPt>
            <c:idx val="2"/>
            <c:marker>
              <c:spPr>
                <a:gradFill rotWithShape="1">
                  <a:gsLst>
                    <a:gs pos="0">
                      <a:schemeClr val="accent3">
                        <a:shade val="34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34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34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34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34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3AC-9941-894A-EF0A7DB5A045}"/>
              </c:ext>
            </c:extLst>
          </c:dPt>
          <c:dPt>
            <c:idx val="3"/>
            <c:marker>
              <c:spPr>
                <a:gradFill rotWithShape="1">
                  <a:gsLst>
                    <a:gs pos="0">
                      <a:schemeClr val="accent3">
                        <a:shade val="35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35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35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35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35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3AC-9941-894A-EF0A7DB5A045}"/>
              </c:ext>
            </c:extLst>
          </c:dPt>
          <c:dPt>
            <c:idx val="4"/>
            <c:marker>
              <c:spPr>
                <a:gradFill rotWithShape="1">
                  <a:gsLst>
                    <a:gs pos="0">
                      <a:schemeClr val="accent3">
                        <a:shade val="36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36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36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36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36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3AC-9941-894A-EF0A7DB5A045}"/>
              </c:ext>
            </c:extLst>
          </c:dPt>
          <c:dPt>
            <c:idx val="5"/>
            <c:marker>
              <c:spPr>
                <a:gradFill rotWithShape="1">
                  <a:gsLst>
                    <a:gs pos="0">
                      <a:schemeClr val="accent3">
                        <a:shade val="38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38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38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38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38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3AC-9941-894A-EF0A7DB5A045}"/>
              </c:ext>
            </c:extLst>
          </c:dPt>
          <c:dPt>
            <c:idx val="6"/>
            <c:marker>
              <c:spPr>
                <a:gradFill rotWithShape="1">
                  <a:gsLst>
                    <a:gs pos="0">
                      <a:schemeClr val="accent3">
                        <a:shade val="39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39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39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39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39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63AC-9941-894A-EF0A7DB5A045}"/>
              </c:ext>
            </c:extLst>
          </c:dPt>
          <c:dPt>
            <c:idx val="7"/>
            <c:marker>
              <c:spPr>
                <a:gradFill rotWithShape="1">
                  <a:gsLst>
                    <a:gs pos="0">
                      <a:schemeClr val="accent3">
                        <a:shade val="41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41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41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41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41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63AC-9941-894A-EF0A7DB5A045}"/>
              </c:ext>
            </c:extLst>
          </c:dPt>
          <c:dPt>
            <c:idx val="8"/>
            <c:marker>
              <c:spPr>
                <a:gradFill rotWithShape="1">
                  <a:gsLst>
                    <a:gs pos="0">
                      <a:schemeClr val="accent3">
                        <a:shade val="42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42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42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42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42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63AC-9941-894A-EF0A7DB5A045}"/>
              </c:ext>
            </c:extLst>
          </c:dPt>
          <c:dPt>
            <c:idx val="9"/>
            <c:marker>
              <c:spPr>
                <a:gradFill rotWithShape="1">
                  <a:gsLst>
                    <a:gs pos="0">
                      <a:schemeClr val="accent3">
                        <a:shade val="43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43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43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43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43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63AC-9941-894A-EF0A7DB5A045}"/>
              </c:ext>
            </c:extLst>
          </c:dPt>
          <c:dPt>
            <c:idx val="10"/>
            <c:marker>
              <c:spPr>
                <a:gradFill rotWithShape="1">
                  <a:gsLst>
                    <a:gs pos="0">
                      <a:schemeClr val="accent3">
                        <a:shade val="45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45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45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45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45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63AC-9941-894A-EF0A7DB5A045}"/>
              </c:ext>
            </c:extLst>
          </c:dPt>
          <c:dPt>
            <c:idx val="11"/>
            <c:marker>
              <c:spPr>
                <a:gradFill rotWithShape="1">
                  <a:gsLst>
                    <a:gs pos="0">
                      <a:schemeClr val="accent3">
                        <a:shade val="46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46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46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46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46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63AC-9941-894A-EF0A7DB5A045}"/>
              </c:ext>
            </c:extLst>
          </c:dPt>
          <c:dPt>
            <c:idx val="12"/>
            <c:marker>
              <c:spPr>
                <a:gradFill rotWithShape="1">
                  <a:gsLst>
                    <a:gs pos="0">
                      <a:schemeClr val="accent3">
                        <a:shade val="48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48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48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48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48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63AC-9941-894A-EF0A7DB5A045}"/>
              </c:ext>
            </c:extLst>
          </c:dPt>
          <c:dPt>
            <c:idx val="13"/>
            <c:marker>
              <c:spPr>
                <a:gradFill rotWithShape="1">
                  <a:gsLst>
                    <a:gs pos="0">
                      <a:schemeClr val="accent3">
                        <a:shade val="49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49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49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49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49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63AC-9941-894A-EF0A7DB5A045}"/>
              </c:ext>
            </c:extLst>
          </c:dPt>
          <c:dPt>
            <c:idx val="14"/>
            <c:marker>
              <c:spPr>
                <a:gradFill rotWithShape="1">
                  <a:gsLst>
                    <a:gs pos="0">
                      <a:schemeClr val="accent3">
                        <a:shade val="50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50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50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50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5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63AC-9941-894A-EF0A7DB5A045}"/>
              </c:ext>
            </c:extLst>
          </c:dPt>
          <c:dPt>
            <c:idx val="15"/>
            <c:marker>
              <c:spPr>
                <a:gradFill rotWithShape="1">
                  <a:gsLst>
                    <a:gs pos="0">
                      <a:schemeClr val="accent3">
                        <a:shade val="52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52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52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52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52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63AC-9941-894A-EF0A7DB5A045}"/>
              </c:ext>
            </c:extLst>
          </c:dPt>
          <c:dPt>
            <c:idx val="16"/>
            <c:marker>
              <c:spPr>
                <a:gradFill rotWithShape="1">
                  <a:gsLst>
                    <a:gs pos="0">
                      <a:schemeClr val="accent3">
                        <a:shade val="53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53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53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53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53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63AC-9941-894A-EF0A7DB5A045}"/>
              </c:ext>
            </c:extLst>
          </c:dPt>
          <c:dPt>
            <c:idx val="17"/>
            <c:marker>
              <c:spPr>
                <a:gradFill rotWithShape="1">
                  <a:gsLst>
                    <a:gs pos="0">
                      <a:schemeClr val="accent3">
                        <a:shade val="54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54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54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54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54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63AC-9941-894A-EF0A7DB5A045}"/>
              </c:ext>
            </c:extLst>
          </c:dPt>
          <c:dPt>
            <c:idx val="18"/>
            <c:marker>
              <c:spPr>
                <a:gradFill rotWithShape="1">
                  <a:gsLst>
                    <a:gs pos="0">
                      <a:schemeClr val="accent3">
                        <a:shade val="56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56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56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56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56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63AC-9941-894A-EF0A7DB5A045}"/>
              </c:ext>
            </c:extLst>
          </c:dPt>
          <c:dPt>
            <c:idx val="19"/>
            <c:marker>
              <c:spPr>
                <a:gradFill rotWithShape="1">
                  <a:gsLst>
                    <a:gs pos="0">
                      <a:schemeClr val="accent3">
                        <a:shade val="57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57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57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57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57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63AC-9941-894A-EF0A7DB5A045}"/>
              </c:ext>
            </c:extLst>
          </c:dPt>
          <c:dPt>
            <c:idx val="20"/>
            <c:marker>
              <c:spPr>
                <a:gradFill rotWithShape="1">
                  <a:gsLst>
                    <a:gs pos="0">
                      <a:schemeClr val="accent3">
                        <a:shade val="59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59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59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59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59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63AC-9941-894A-EF0A7DB5A045}"/>
              </c:ext>
            </c:extLst>
          </c:dPt>
          <c:dPt>
            <c:idx val="21"/>
            <c:marker>
              <c:spPr>
                <a:gradFill rotWithShape="1">
                  <a:gsLst>
                    <a:gs pos="0">
                      <a:schemeClr val="accent3">
                        <a:shade val="60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60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60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60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6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63AC-9941-894A-EF0A7DB5A045}"/>
              </c:ext>
            </c:extLst>
          </c:dPt>
          <c:dPt>
            <c:idx val="22"/>
            <c:marker>
              <c:spPr>
                <a:gradFill rotWithShape="1">
                  <a:gsLst>
                    <a:gs pos="0">
                      <a:schemeClr val="accent3">
                        <a:shade val="61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61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61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61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61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63AC-9941-894A-EF0A7DB5A045}"/>
              </c:ext>
            </c:extLst>
          </c:dPt>
          <c:dPt>
            <c:idx val="23"/>
            <c:marker>
              <c:spPr>
                <a:gradFill rotWithShape="1">
                  <a:gsLst>
                    <a:gs pos="0">
                      <a:schemeClr val="accent3">
                        <a:shade val="63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63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63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63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63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63AC-9941-894A-EF0A7DB5A045}"/>
              </c:ext>
            </c:extLst>
          </c:dPt>
          <c:dPt>
            <c:idx val="24"/>
            <c:marker>
              <c:spPr>
                <a:gradFill rotWithShape="1">
                  <a:gsLst>
                    <a:gs pos="0">
                      <a:schemeClr val="accent3">
                        <a:shade val="64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64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64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64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64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63AC-9941-894A-EF0A7DB5A045}"/>
              </c:ext>
            </c:extLst>
          </c:dPt>
          <c:dPt>
            <c:idx val="25"/>
            <c:marker>
              <c:spPr>
                <a:gradFill rotWithShape="1">
                  <a:gsLst>
                    <a:gs pos="0">
                      <a:schemeClr val="accent3">
                        <a:shade val="66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66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66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66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66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63AC-9941-894A-EF0A7DB5A045}"/>
              </c:ext>
            </c:extLst>
          </c:dPt>
          <c:dPt>
            <c:idx val="26"/>
            <c:marker>
              <c:spPr>
                <a:gradFill rotWithShape="1">
                  <a:gsLst>
                    <a:gs pos="0">
                      <a:schemeClr val="accent3">
                        <a:shade val="67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67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67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67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67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63AC-9941-894A-EF0A7DB5A045}"/>
              </c:ext>
            </c:extLst>
          </c:dPt>
          <c:dPt>
            <c:idx val="27"/>
            <c:marker>
              <c:spPr>
                <a:gradFill rotWithShape="1">
                  <a:gsLst>
                    <a:gs pos="0">
                      <a:schemeClr val="accent3">
                        <a:shade val="68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68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68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68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68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63AC-9941-894A-EF0A7DB5A045}"/>
              </c:ext>
            </c:extLst>
          </c:dPt>
          <c:dPt>
            <c:idx val="28"/>
            <c:marker>
              <c:spPr>
                <a:gradFill rotWithShape="1">
                  <a:gsLst>
                    <a:gs pos="0">
                      <a:schemeClr val="accent3">
                        <a:shade val="70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70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70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70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7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63AC-9941-894A-EF0A7DB5A045}"/>
              </c:ext>
            </c:extLst>
          </c:dPt>
          <c:dPt>
            <c:idx val="29"/>
            <c:marker>
              <c:spPr>
                <a:gradFill rotWithShape="1">
                  <a:gsLst>
                    <a:gs pos="0">
                      <a:schemeClr val="accent3">
                        <a:shade val="71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71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71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71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71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63AC-9941-894A-EF0A7DB5A045}"/>
              </c:ext>
            </c:extLst>
          </c:dPt>
          <c:dPt>
            <c:idx val="30"/>
            <c:marker>
              <c:spPr>
                <a:gradFill rotWithShape="1">
                  <a:gsLst>
                    <a:gs pos="0">
                      <a:schemeClr val="accent3">
                        <a:shade val="72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72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72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72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72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63AC-9941-894A-EF0A7DB5A045}"/>
              </c:ext>
            </c:extLst>
          </c:dPt>
          <c:dPt>
            <c:idx val="31"/>
            <c:marker>
              <c:spPr>
                <a:gradFill rotWithShape="1">
                  <a:gsLst>
                    <a:gs pos="0">
                      <a:schemeClr val="accent3">
                        <a:shade val="74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74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74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74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74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63AC-9941-894A-EF0A7DB5A045}"/>
              </c:ext>
            </c:extLst>
          </c:dPt>
          <c:dPt>
            <c:idx val="32"/>
            <c:marker>
              <c:spPr>
                <a:gradFill rotWithShape="1">
                  <a:gsLst>
                    <a:gs pos="0">
                      <a:schemeClr val="accent3">
                        <a:shade val="75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75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75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75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75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1-63AC-9941-894A-EF0A7DB5A045}"/>
              </c:ext>
            </c:extLst>
          </c:dPt>
          <c:dPt>
            <c:idx val="33"/>
            <c:marker>
              <c:spPr>
                <a:gradFill rotWithShape="1">
                  <a:gsLst>
                    <a:gs pos="0">
                      <a:schemeClr val="accent3">
                        <a:shade val="77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77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77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77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77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3-63AC-9941-894A-EF0A7DB5A045}"/>
              </c:ext>
            </c:extLst>
          </c:dPt>
          <c:dPt>
            <c:idx val="34"/>
            <c:marker>
              <c:spPr>
                <a:gradFill rotWithShape="1">
                  <a:gsLst>
                    <a:gs pos="0">
                      <a:schemeClr val="accent3">
                        <a:shade val="78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78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78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78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78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5-63AC-9941-894A-EF0A7DB5A045}"/>
              </c:ext>
            </c:extLst>
          </c:dPt>
          <c:dPt>
            <c:idx val="35"/>
            <c:marker>
              <c:spPr>
                <a:gradFill rotWithShape="1">
                  <a:gsLst>
                    <a:gs pos="0">
                      <a:schemeClr val="accent3">
                        <a:shade val="79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79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79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79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79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7-63AC-9941-894A-EF0A7DB5A045}"/>
              </c:ext>
            </c:extLst>
          </c:dPt>
          <c:dPt>
            <c:idx val="36"/>
            <c:marker>
              <c:spPr>
                <a:gradFill rotWithShape="1">
                  <a:gsLst>
                    <a:gs pos="0">
                      <a:schemeClr val="accent3">
                        <a:shade val="81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81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81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81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81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9-63AC-9941-894A-EF0A7DB5A045}"/>
              </c:ext>
            </c:extLst>
          </c:dPt>
          <c:dPt>
            <c:idx val="37"/>
            <c:marker>
              <c:spPr>
                <a:gradFill rotWithShape="1">
                  <a:gsLst>
                    <a:gs pos="0">
                      <a:schemeClr val="accent3">
                        <a:shade val="82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82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82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82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82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B-63AC-9941-894A-EF0A7DB5A045}"/>
              </c:ext>
            </c:extLst>
          </c:dPt>
          <c:dPt>
            <c:idx val="38"/>
            <c:marker>
              <c:spPr>
                <a:gradFill rotWithShape="1">
                  <a:gsLst>
                    <a:gs pos="0">
                      <a:schemeClr val="accent3">
                        <a:shade val="84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84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84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84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84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D-63AC-9941-894A-EF0A7DB5A045}"/>
              </c:ext>
            </c:extLst>
          </c:dPt>
          <c:dPt>
            <c:idx val="39"/>
            <c:marker>
              <c:spPr>
                <a:gradFill rotWithShape="1">
                  <a:gsLst>
                    <a:gs pos="0">
                      <a:schemeClr val="accent3">
                        <a:shade val="85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85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85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85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85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F-63AC-9941-894A-EF0A7DB5A045}"/>
              </c:ext>
            </c:extLst>
          </c:dPt>
          <c:dPt>
            <c:idx val="40"/>
            <c:marker>
              <c:spPr>
                <a:gradFill rotWithShape="1">
                  <a:gsLst>
                    <a:gs pos="0">
                      <a:schemeClr val="accent3">
                        <a:shade val="86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86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86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86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86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1-63AC-9941-894A-EF0A7DB5A045}"/>
              </c:ext>
            </c:extLst>
          </c:dPt>
          <c:dPt>
            <c:idx val="41"/>
            <c:marker>
              <c:spPr>
                <a:gradFill rotWithShape="1">
                  <a:gsLst>
                    <a:gs pos="0">
                      <a:schemeClr val="accent3">
                        <a:shade val="88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88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88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88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88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3-63AC-9941-894A-EF0A7DB5A045}"/>
              </c:ext>
            </c:extLst>
          </c:dPt>
          <c:dPt>
            <c:idx val="42"/>
            <c:marker>
              <c:spPr>
                <a:gradFill rotWithShape="1">
                  <a:gsLst>
                    <a:gs pos="0">
                      <a:schemeClr val="accent3">
                        <a:shade val="89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89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89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89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89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5-63AC-9941-894A-EF0A7DB5A045}"/>
              </c:ext>
            </c:extLst>
          </c:dPt>
          <c:dPt>
            <c:idx val="43"/>
            <c:marker>
              <c:spPr>
                <a:gradFill rotWithShape="1">
                  <a:gsLst>
                    <a:gs pos="0">
                      <a:schemeClr val="accent3">
                        <a:shade val="90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90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90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90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9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7-63AC-9941-894A-EF0A7DB5A045}"/>
              </c:ext>
            </c:extLst>
          </c:dPt>
          <c:dPt>
            <c:idx val="44"/>
            <c:marker>
              <c:spPr>
                <a:gradFill rotWithShape="1">
                  <a:gsLst>
                    <a:gs pos="0">
                      <a:schemeClr val="accent3">
                        <a:shade val="92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92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92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92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92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9-63AC-9941-894A-EF0A7DB5A045}"/>
              </c:ext>
            </c:extLst>
          </c:dPt>
          <c:dPt>
            <c:idx val="45"/>
            <c:marker>
              <c:spPr>
                <a:gradFill rotWithShape="1">
                  <a:gsLst>
                    <a:gs pos="0">
                      <a:schemeClr val="accent3">
                        <a:shade val="93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93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93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93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93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B-63AC-9941-894A-EF0A7DB5A045}"/>
              </c:ext>
            </c:extLst>
          </c:dPt>
          <c:dPt>
            <c:idx val="46"/>
            <c:marker>
              <c:spPr>
                <a:gradFill rotWithShape="1">
                  <a:gsLst>
                    <a:gs pos="0">
                      <a:schemeClr val="accent3">
                        <a:shade val="95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95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95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95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95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D-63AC-9941-894A-EF0A7DB5A045}"/>
              </c:ext>
            </c:extLst>
          </c:dPt>
          <c:dPt>
            <c:idx val="47"/>
            <c:marker>
              <c:spPr>
                <a:gradFill rotWithShape="1">
                  <a:gsLst>
                    <a:gs pos="0">
                      <a:schemeClr val="accent3">
                        <a:shade val="96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96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96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96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96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F-63AC-9941-894A-EF0A7DB5A045}"/>
              </c:ext>
            </c:extLst>
          </c:dPt>
          <c:dPt>
            <c:idx val="48"/>
            <c:marker>
              <c:spPr>
                <a:gradFill rotWithShape="1">
                  <a:gsLst>
                    <a:gs pos="0">
                      <a:schemeClr val="accent3">
                        <a:shade val="97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97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97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97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97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1-63AC-9941-894A-EF0A7DB5A045}"/>
              </c:ext>
            </c:extLst>
          </c:dPt>
          <c:dPt>
            <c:idx val="49"/>
            <c:marker>
              <c:spPr>
                <a:gradFill rotWithShape="1">
                  <a:gsLst>
                    <a:gs pos="0">
                      <a:schemeClr val="accent3">
                        <a:shade val="99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99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99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99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99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3-63AC-9941-894A-EF0A7DB5A045}"/>
              </c:ext>
            </c:extLst>
          </c:dPt>
          <c:dPt>
            <c:idx val="50"/>
            <c:marker>
              <c:spPr>
                <a:gradFill rotWithShape="1">
                  <a:gsLst>
                    <a:gs pos="0">
                      <a:schemeClr val="accent3"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/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5-63AC-9941-894A-EF0A7DB5A045}"/>
              </c:ext>
            </c:extLst>
          </c:dPt>
          <c:dPt>
            <c:idx val="51"/>
            <c:marker>
              <c:spPr>
                <a:gradFill rotWithShape="1">
                  <a:gsLst>
                    <a:gs pos="0">
                      <a:schemeClr val="accent3">
                        <a:tint val="98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98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98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98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98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7-63AC-9941-894A-EF0A7DB5A045}"/>
              </c:ext>
            </c:extLst>
          </c:dPt>
          <c:dPt>
            <c:idx val="52"/>
            <c:marker>
              <c:spPr>
                <a:gradFill rotWithShape="1">
                  <a:gsLst>
                    <a:gs pos="0">
                      <a:schemeClr val="accent3">
                        <a:tint val="97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97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97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97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97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9-63AC-9941-894A-EF0A7DB5A045}"/>
              </c:ext>
            </c:extLst>
          </c:dPt>
          <c:dPt>
            <c:idx val="53"/>
            <c:marker>
              <c:spPr>
                <a:gradFill rotWithShape="1">
                  <a:gsLst>
                    <a:gs pos="0">
                      <a:schemeClr val="accent3">
                        <a:tint val="96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96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96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96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96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B-63AC-9941-894A-EF0A7DB5A045}"/>
              </c:ext>
            </c:extLst>
          </c:dPt>
          <c:dPt>
            <c:idx val="54"/>
            <c:marker>
              <c:spPr>
                <a:gradFill rotWithShape="1">
                  <a:gsLst>
                    <a:gs pos="0">
                      <a:schemeClr val="accent3">
                        <a:tint val="94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94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94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94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94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D-63AC-9941-894A-EF0A7DB5A045}"/>
              </c:ext>
            </c:extLst>
          </c:dPt>
          <c:dPt>
            <c:idx val="55"/>
            <c:marker>
              <c:spPr>
                <a:gradFill rotWithShape="1">
                  <a:gsLst>
                    <a:gs pos="0">
                      <a:schemeClr val="accent3">
                        <a:tint val="93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93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93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93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93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F-63AC-9941-894A-EF0A7DB5A045}"/>
              </c:ext>
            </c:extLst>
          </c:dPt>
          <c:dPt>
            <c:idx val="56"/>
            <c:marker>
              <c:spPr>
                <a:gradFill rotWithShape="1">
                  <a:gsLst>
                    <a:gs pos="0">
                      <a:schemeClr val="accent3">
                        <a:tint val="91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91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91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91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91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1-63AC-9941-894A-EF0A7DB5A045}"/>
              </c:ext>
            </c:extLst>
          </c:dPt>
          <c:dPt>
            <c:idx val="57"/>
            <c:marker>
              <c:spPr>
                <a:gradFill rotWithShape="1">
                  <a:gsLst>
                    <a:gs pos="0">
                      <a:schemeClr val="accent3">
                        <a:tint val="90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90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90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90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9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3-63AC-9941-894A-EF0A7DB5A045}"/>
              </c:ext>
            </c:extLst>
          </c:dPt>
          <c:dPt>
            <c:idx val="58"/>
            <c:marker>
              <c:spPr>
                <a:gradFill rotWithShape="1">
                  <a:gsLst>
                    <a:gs pos="0">
                      <a:schemeClr val="accent3">
                        <a:tint val="89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89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89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89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89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5-63AC-9941-894A-EF0A7DB5A045}"/>
              </c:ext>
            </c:extLst>
          </c:dPt>
          <c:dPt>
            <c:idx val="59"/>
            <c:marker>
              <c:spPr>
                <a:gradFill rotWithShape="1">
                  <a:gsLst>
                    <a:gs pos="0">
                      <a:schemeClr val="accent3">
                        <a:tint val="87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87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87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87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87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7-63AC-9941-894A-EF0A7DB5A045}"/>
              </c:ext>
            </c:extLst>
          </c:dPt>
          <c:dPt>
            <c:idx val="60"/>
            <c:marker>
              <c:spPr>
                <a:gradFill rotWithShape="1">
                  <a:gsLst>
                    <a:gs pos="0">
                      <a:schemeClr val="accent3">
                        <a:tint val="86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86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86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86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86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9-63AC-9941-894A-EF0A7DB5A045}"/>
              </c:ext>
            </c:extLst>
          </c:dPt>
          <c:dPt>
            <c:idx val="61"/>
            <c:marker>
              <c:spPr>
                <a:gradFill rotWithShape="1">
                  <a:gsLst>
                    <a:gs pos="0">
                      <a:schemeClr val="accent3">
                        <a:tint val="85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85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85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85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85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B-63AC-9941-894A-EF0A7DB5A045}"/>
              </c:ext>
            </c:extLst>
          </c:dPt>
          <c:dPt>
            <c:idx val="62"/>
            <c:marker>
              <c:spPr>
                <a:gradFill rotWithShape="1">
                  <a:gsLst>
                    <a:gs pos="0">
                      <a:schemeClr val="accent3">
                        <a:tint val="83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83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83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83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83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D-63AC-9941-894A-EF0A7DB5A045}"/>
              </c:ext>
            </c:extLst>
          </c:dPt>
          <c:dPt>
            <c:idx val="63"/>
            <c:marker>
              <c:spPr>
                <a:gradFill rotWithShape="1">
                  <a:gsLst>
                    <a:gs pos="0">
                      <a:schemeClr val="accent3">
                        <a:tint val="82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82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82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82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82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F-63AC-9941-894A-EF0A7DB5A045}"/>
              </c:ext>
            </c:extLst>
          </c:dPt>
          <c:dPt>
            <c:idx val="64"/>
            <c:marker>
              <c:spPr>
                <a:gradFill rotWithShape="1">
                  <a:gsLst>
                    <a:gs pos="0">
                      <a:schemeClr val="accent3">
                        <a:tint val="80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80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80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80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8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1-63AC-9941-894A-EF0A7DB5A045}"/>
              </c:ext>
            </c:extLst>
          </c:dPt>
          <c:dPt>
            <c:idx val="65"/>
            <c:marker>
              <c:spPr>
                <a:gradFill rotWithShape="1">
                  <a:gsLst>
                    <a:gs pos="0">
                      <a:schemeClr val="accent3">
                        <a:tint val="79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79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79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79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79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3-63AC-9941-894A-EF0A7DB5A045}"/>
              </c:ext>
            </c:extLst>
          </c:dPt>
          <c:dPt>
            <c:idx val="66"/>
            <c:marker>
              <c:spPr>
                <a:gradFill rotWithShape="1">
                  <a:gsLst>
                    <a:gs pos="0">
                      <a:schemeClr val="accent3">
                        <a:tint val="78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78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78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78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78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5-63AC-9941-894A-EF0A7DB5A045}"/>
              </c:ext>
            </c:extLst>
          </c:dPt>
          <c:dPt>
            <c:idx val="67"/>
            <c:marker>
              <c:spPr>
                <a:gradFill rotWithShape="1">
                  <a:gsLst>
                    <a:gs pos="0">
                      <a:schemeClr val="accent3">
                        <a:tint val="76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76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76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76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76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7-63AC-9941-894A-EF0A7DB5A045}"/>
              </c:ext>
            </c:extLst>
          </c:dPt>
          <c:dPt>
            <c:idx val="68"/>
            <c:marker>
              <c:spPr>
                <a:gradFill rotWithShape="1">
                  <a:gsLst>
                    <a:gs pos="0">
                      <a:schemeClr val="accent3">
                        <a:tint val="75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75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75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75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75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9-63AC-9941-894A-EF0A7DB5A045}"/>
              </c:ext>
            </c:extLst>
          </c:dPt>
          <c:dPt>
            <c:idx val="69"/>
            <c:marker>
              <c:spPr>
                <a:gradFill rotWithShape="1">
                  <a:gsLst>
                    <a:gs pos="0">
                      <a:schemeClr val="accent3">
                        <a:tint val="73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73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73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73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73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B-63AC-9941-894A-EF0A7DB5A045}"/>
              </c:ext>
            </c:extLst>
          </c:dPt>
          <c:dPt>
            <c:idx val="70"/>
            <c:marker>
              <c:spPr>
                <a:gradFill rotWithShape="1">
                  <a:gsLst>
                    <a:gs pos="0">
                      <a:schemeClr val="accent3">
                        <a:tint val="72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72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72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72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72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D-63AC-9941-894A-EF0A7DB5A045}"/>
              </c:ext>
            </c:extLst>
          </c:dPt>
          <c:dPt>
            <c:idx val="71"/>
            <c:marker>
              <c:spPr>
                <a:gradFill rotWithShape="1">
                  <a:gsLst>
                    <a:gs pos="0">
                      <a:schemeClr val="accent3">
                        <a:tint val="71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71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71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71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71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F-63AC-9941-894A-EF0A7DB5A045}"/>
              </c:ext>
            </c:extLst>
          </c:dPt>
          <c:dPt>
            <c:idx val="72"/>
            <c:marker>
              <c:spPr>
                <a:gradFill rotWithShape="1">
                  <a:gsLst>
                    <a:gs pos="0">
                      <a:schemeClr val="accent3">
                        <a:tint val="69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69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69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69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69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1-63AC-9941-894A-EF0A7DB5A045}"/>
              </c:ext>
            </c:extLst>
          </c:dPt>
          <c:dPt>
            <c:idx val="73"/>
            <c:marker>
              <c:spPr>
                <a:gradFill rotWithShape="1">
                  <a:gsLst>
                    <a:gs pos="0">
                      <a:schemeClr val="accent3">
                        <a:tint val="68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68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68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68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68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3-63AC-9941-894A-EF0A7DB5A045}"/>
              </c:ext>
            </c:extLst>
          </c:dPt>
          <c:dPt>
            <c:idx val="74"/>
            <c:marker>
              <c:spPr>
                <a:gradFill rotWithShape="1">
                  <a:gsLst>
                    <a:gs pos="0">
                      <a:schemeClr val="accent3">
                        <a:tint val="67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67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67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67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67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5-63AC-9941-894A-EF0A7DB5A045}"/>
              </c:ext>
            </c:extLst>
          </c:dPt>
          <c:dPt>
            <c:idx val="75"/>
            <c:marker>
              <c:spPr>
                <a:gradFill rotWithShape="1">
                  <a:gsLst>
                    <a:gs pos="0">
                      <a:schemeClr val="accent3">
                        <a:tint val="65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65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65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65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65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7-63AC-9941-894A-EF0A7DB5A045}"/>
              </c:ext>
            </c:extLst>
          </c:dPt>
          <c:dPt>
            <c:idx val="76"/>
            <c:marker>
              <c:spPr>
                <a:gradFill rotWithShape="1">
                  <a:gsLst>
                    <a:gs pos="0">
                      <a:schemeClr val="accent3">
                        <a:tint val="64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64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64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64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64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9-63AC-9941-894A-EF0A7DB5A045}"/>
              </c:ext>
            </c:extLst>
          </c:dPt>
          <c:dPt>
            <c:idx val="77"/>
            <c:marker>
              <c:spPr>
                <a:gradFill rotWithShape="1">
                  <a:gsLst>
                    <a:gs pos="0">
                      <a:schemeClr val="accent3">
                        <a:tint val="62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62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62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62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62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B-63AC-9941-894A-EF0A7DB5A045}"/>
              </c:ext>
            </c:extLst>
          </c:dPt>
          <c:dPt>
            <c:idx val="78"/>
            <c:marker>
              <c:spPr>
                <a:gradFill rotWithShape="1">
                  <a:gsLst>
                    <a:gs pos="0">
                      <a:schemeClr val="accent3">
                        <a:tint val="61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61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61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61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61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D-63AC-9941-894A-EF0A7DB5A045}"/>
              </c:ext>
            </c:extLst>
          </c:dPt>
          <c:dPt>
            <c:idx val="79"/>
            <c:marker>
              <c:spPr>
                <a:gradFill rotWithShape="1">
                  <a:gsLst>
                    <a:gs pos="0">
                      <a:schemeClr val="accent3">
                        <a:tint val="60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60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60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60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6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F-63AC-9941-894A-EF0A7DB5A045}"/>
              </c:ext>
            </c:extLst>
          </c:dPt>
          <c:dPt>
            <c:idx val="80"/>
            <c:marker>
              <c:spPr>
                <a:gradFill rotWithShape="1">
                  <a:gsLst>
                    <a:gs pos="0">
                      <a:schemeClr val="accent3">
                        <a:tint val="58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58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58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58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58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1-63AC-9941-894A-EF0A7DB5A045}"/>
              </c:ext>
            </c:extLst>
          </c:dPt>
          <c:dPt>
            <c:idx val="81"/>
            <c:marker>
              <c:spPr>
                <a:gradFill rotWithShape="1">
                  <a:gsLst>
                    <a:gs pos="0">
                      <a:schemeClr val="accent3">
                        <a:tint val="57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57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57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57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57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3-63AC-9941-894A-EF0A7DB5A045}"/>
              </c:ext>
            </c:extLst>
          </c:dPt>
          <c:dPt>
            <c:idx val="82"/>
            <c:marker>
              <c:spPr>
                <a:gradFill rotWithShape="1">
                  <a:gsLst>
                    <a:gs pos="0">
                      <a:schemeClr val="accent3">
                        <a:tint val="55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55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55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55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55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5-63AC-9941-894A-EF0A7DB5A045}"/>
              </c:ext>
            </c:extLst>
          </c:dPt>
          <c:dPt>
            <c:idx val="83"/>
            <c:marker>
              <c:spPr>
                <a:gradFill rotWithShape="1">
                  <a:gsLst>
                    <a:gs pos="0">
                      <a:schemeClr val="accent3">
                        <a:tint val="54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54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54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54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54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7-63AC-9941-894A-EF0A7DB5A045}"/>
              </c:ext>
            </c:extLst>
          </c:dPt>
          <c:dPt>
            <c:idx val="84"/>
            <c:marker>
              <c:spPr>
                <a:gradFill rotWithShape="1">
                  <a:gsLst>
                    <a:gs pos="0">
                      <a:schemeClr val="accent3">
                        <a:tint val="53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53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53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53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53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9-63AC-9941-894A-EF0A7DB5A045}"/>
              </c:ext>
            </c:extLst>
          </c:dPt>
          <c:dPt>
            <c:idx val="85"/>
            <c:marker>
              <c:spPr>
                <a:gradFill rotWithShape="1">
                  <a:gsLst>
                    <a:gs pos="0">
                      <a:schemeClr val="accent3">
                        <a:tint val="51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51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51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51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51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B-63AC-9941-894A-EF0A7DB5A045}"/>
              </c:ext>
            </c:extLst>
          </c:dPt>
          <c:dPt>
            <c:idx val="86"/>
            <c:marker>
              <c:spPr>
                <a:gradFill rotWithShape="1">
                  <a:gsLst>
                    <a:gs pos="0">
                      <a:schemeClr val="accent3">
                        <a:tint val="50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50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50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50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5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D-63AC-9941-894A-EF0A7DB5A045}"/>
              </c:ext>
            </c:extLst>
          </c:dPt>
          <c:dPt>
            <c:idx val="87"/>
            <c:marker>
              <c:spPr>
                <a:gradFill rotWithShape="1">
                  <a:gsLst>
                    <a:gs pos="0">
                      <a:schemeClr val="accent3">
                        <a:tint val="49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49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49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49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49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F-63AC-9941-894A-EF0A7DB5A045}"/>
              </c:ext>
            </c:extLst>
          </c:dPt>
          <c:dPt>
            <c:idx val="88"/>
            <c:marker>
              <c:spPr>
                <a:gradFill rotWithShape="1">
                  <a:gsLst>
                    <a:gs pos="0">
                      <a:schemeClr val="accent3">
                        <a:tint val="47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47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47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47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47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1-63AC-9941-894A-EF0A7DB5A045}"/>
              </c:ext>
            </c:extLst>
          </c:dPt>
          <c:dPt>
            <c:idx val="89"/>
            <c:marker>
              <c:spPr>
                <a:gradFill rotWithShape="1">
                  <a:gsLst>
                    <a:gs pos="0">
                      <a:schemeClr val="accent3">
                        <a:tint val="46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46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46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46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46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3-63AC-9941-894A-EF0A7DB5A045}"/>
              </c:ext>
            </c:extLst>
          </c:dPt>
          <c:dPt>
            <c:idx val="90"/>
            <c:marker>
              <c:spPr>
                <a:gradFill rotWithShape="1">
                  <a:gsLst>
                    <a:gs pos="0">
                      <a:schemeClr val="accent3">
                        <a:tint val="44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44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44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44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44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5-63AC-9941-894A-EF0A7DB5A045}"/>
              </c:ext>
            </c:extLst>
          </c:dPt>
          <c:dPt>
            <c:idx val="91"/>
            <c:marker>
              <c:spPr>
                <a:gradFill rotWithShape="1">
                  <a:gsLst>
                    <a:gs pos="0">
                      <a:schemeClr val="accent3">
                        <a:tint val="43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43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43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43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43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7-63AC-9941-894A-EF0A7DB5A045}"/>
              </c:ext>
            </c:extLst>
          </c:dPt>
          <c:dPt>
            <c:idx val="92"/>
            <c:marker>
              <c:spPr>
                <a:gradFill rotWithShape="1">
                  <a:gsLst>
                    <a:gs pos="0">
                      <a:schemeClr val="accent3">
                        <a:tint val="42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42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42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42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42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9-63AC-9941-894A-EF0A7DB5A045}"/>
              </c:ext>
            </c:extLst>
          </c:dPt>
          <c:dPt>
            <c:idx val="93"/>
            <c:marker>
              <c:spPr>
                <a:gradFill rotWithShape="1">
                  <a:gsLst>
                    <a:gs pos="0">
                      <a:schemeClr val="accent3">
                        <a:tint val="40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40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40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40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4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B-63AC-9941-894A-EF0A7DB5A045}"/>
              </c:ext>
            </c:extLst>
          </c:dPt>
          <c:dPt>
            <c:idx val="94"/>
            <c:marker>
              <c:spPr>
                <a:gradFill rotWithShape="1">
                  <a:gsLst>
                    <a:gs pos="0">
                      <a:schemeClr val="accent3">
                        <a:tint val="39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39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39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39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39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D-63AC-9941-894A-EF0A7DB5A045}"/>
              </c:ext>
            </c:extLst>
          </c:dPt>
          <c:dPt>
            <c:idx val="95"/>
            <c:marker>
              <c:spPr>
                <a:gradFill rotWithShape="1">
                  <a:gsLst>
                    <a:gs pos="0">
                      <a:schemeClr val="accent3">
                        <a:tint val="37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37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37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37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37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F-63AC-9941-894A-EF0A7DB5A045}"/>
              </c:ext>
            </c:extLst>
          </c:dPt>
          <c:dPt>
            <c:idx val="96"/>
            <c:marker>
              <c:spPr>
                <a:gradFill rotWithShape="1">
                  <a:gsLst>
                    <a:gs pos="0">
                      <a:schemeClr val="accent3">
                        <a:tint val="36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36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36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36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36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1-63AC-9941-894A-EF0A7DB5A045}"/>
              </c:ext>
            </c:extLst>
          </c:dPt>
          <c:dPt>
            <c:idx val="97"/>
            <c:marker>
              <c:spPr>
                <a:gradFill rotWithShape="1">
                  <a:gsLst>
                    <a:gs pos="0">
                      <a:schemeClr val="accent3">
                        <a:tint val="35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35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35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35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35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3-63AC-9941-894A-EF0A7DB5A045}"/>
              </c:ext>
            </c:extLst>
          </c:dPt>
          <c:dPt>
            <c:idx val="98"/>
            <c:marker>
              <c:spPr>
                <a:gradFill rotWithShape="1">
                  <a:gsLst>
                    <a:gs pos="0">
                      <a:schemeClr val="accent3">
                        <a:tint val="33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33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33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33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33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5-63AC-9941-894A-EF0A7DB5A045}"/>
              </c:ext>
            </c:extLst>
          </c:dPt>
          <c:dPt>
            <c:idx val="99"/>
            <c:marker>
              <c:spPr>
                <a:gradFill rotWithShape="1">
                  <a:gsLst>
                    <a:gs pos="0">
                      <a:schemeClr val="accent3">
                        <a:tint val="32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32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32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32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32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7-63AC-9941-894A-EF0A7DB5A045}"/>
              </c:ext>
            </c:extLst>
          </c:dPt>
          <c:xVal>
            <c:numRef>
              <c:f>Dashboard!$A$10:$A$109</c:f>
              <c:numCache>
                <c:formatCode>0.0</c:formatCode>
                <c:ptCount val="100"/>
                <c:pt idx="0">
                  <c:v>100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</c:numCache>
            </c:numRef>
          </c:xVal>
          <c:yVal>
            <c:numRef>
              <c:f>Dashboard!$B$10:$B$109</c:f>
              <c:numCache>
                <c:formatCode>0.0</c:formatCode>
                <c:ptCount val="100"/>
                <c:pt idx="0">
                  <c:v>5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6C-9A46-8E1D-38BFEB4A04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PKA energy (eV)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0.0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Residual displaced atoms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0.0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Final MSD vs PKA energy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296264788509474"/>
          <c:y val="4.8506944444444443E-2"/>
          <c:w val="0.81363292842163559"/>
          <c:h val="0.83596597222222224"/>
        </c:manualLayout>
      </c:layout>
      <c:scatterChart>
        <c:scatterStyle val="lineMarker"/>
        <c:varyColors val="1"/>
        <c:ser>
          <c:idx val="0"/>
          <c:order val="0"/>
          <c:tx>
            <c:v>Final MSD (A^2)</c:v>
          </c:tx>
          <c:marker>
            <c:symbol val="circle"/>
            <c:size val="5"/>
          </c:marker>
          <c:dPt>
            <c:idx val="0"/>
            <c:marker>
              <c:spPr>
                <a:gradFill rotWithShape="1">
                  <a:gsLst>
                    <a:gs pos="0">
                      <a:schemeClr val="accent3">
                        <a:shade val="31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31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31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31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31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514-8C4B-AD4F-61C7AC10F129}"/>
              </c:ext>
            </c:extLst>
          </c:dPt>
          <c:dPt>
            <c:idx val="1"/>
            <c:marker>
              <c:spPr>
                <a:gradFill rotWithShape="1">
                  <a:gsLst>
                    <a:gs pos="0">
                      <a:schemeClr val="accent3">
                        <a:shade val="32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32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32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32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32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514-8C4B-AD4F-61C7AC10F129}"/>
              </c:ext>
            </c:extLst>
          </c:dPt>
          <c:dPt>
            <c:idx val="2"/>
            <c:marker>
              <c:spPr>
                <a:gradFill rotWithShape="1">
                  <a:gsLst>
                    <a:gs pos="0">
                      <a:schemeClr val="accent3">
                        <a:shade val="34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34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34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34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34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514-8C4B-AD4F-61C7AC10F129}"/>
              </c:ext>
            </c:extLst>
          </c:dPt>
          <c:dPt>
            <c:idx val="3"/>
            <c:marker>
              <c:spPr>
                <a:gradFill rotWithShape="1">
                  <a:gsLst>
                    <a:gs pos="0">
                      <a:schemeClr val="accent3">
                        <a:shade val="35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35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35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35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35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514-8C4B-AD4F-61C7AC10F129}"/>
              </c:ext>
            </c:extLst>
          </c:dPt>
          <c:dPt>
            <c:idx val="4"/>
            <c:marker>
              <c:spPr>
                <a:gradFill rotWithShape="1">
                  <a:gsLst>
                    <a:gs pos="0">
                      <a:schemeClr val="accent3">
                        <a:shade val="36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36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36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36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36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514-8C4B-AD4F-61C7AC10F129}"/>
              </c:ext>
            </c:extLst>
          </c:dPt>
          <c:dPt>
            <c:idx val="5"/>
            <c:marker>
              <c:spPr>
                <a:gradFill rotWithShape="1">
                  <a:gsLst>
                    <a:gs pos="0">
                      <a:schemeClr val="accent3">
                        <a:shade val="38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38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38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38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38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1514-8C4B-AD4F-61C7AC10F129}"/>
              </c:ext>
            </c:extLst>
          </c:dPt>
          <c:dPt>
            <c:idx val="6"/>
            <c:marker>
              <c:spPr>
                <a:gradFill rotWithShape="1">
                  <a:gsLst>
                    <a:gs pos="0">
                      <a:schemeClr val="accent3">
                        <a:shade val="39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39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39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39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39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1514-8C4B-AD4F-61C7AC10F129}"/>
              </c:ext>
            </c:extLst>
          </c:dPt>
          <c:dPt>
            <c:idx val="7"/>
            <c:marker>
              <c:spPr>
                <a:gradFill rotWithShape="1">
                  <a:gsLst>
                    <a:gs pos="0">
                      <a:schemeClr val="accent3">
                        <a:shade val="41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41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41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41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41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1514-8C4B-AD4F-61C7AC10F129}"/>
              </c:ext>
            </c:extLst>
          </c:dPt>
          <c:dPt>
            <c:idx val="8"/>
            <c:marker>
              <c:spPr>
                <a:gradFill rotWithShape="1">
                  <a:gsLst>
                    <a:gs pos="0">
                      <a:schemeClr val="accent3">
                        <a:shade val="42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42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42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42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42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1514-8C4B-AD4F-61C7AC10F129}"/>
              </c:ext>
            </c:extLst>
          </c:dPt>
          <c:dPt>
            <c:idx val="9"/>
            <c:marker>
              <c:spPr>
                <a:gradFill rotWithShape="1">
                  <a:gsLst>
                    <a:gs pos="0">
                      <a:schemeClr val="accent3">
                        <a:shade val="43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43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43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43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43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1514-8C4B-AD4F-61C7AC10F129}"/>
              </c:ext>
            </c:extLst>
          </c:dPt>
          <c:dPt>
            <c:idx val="10"/>
            <c:marker>
              <c:spPr>
                <a:gradFill rotWithShape="1">
                  <a:gsLst>
                    <a:gs pos="0">
                      <a:schemeClr val="accent3">
                        <a:shade val="45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45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45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45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45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1514-8C4B-AD4F-61C7AC10F129}"/>
              </c:ext>
            </c:extLst>
          </c:dPt>
          <c:dPt>
            <c:idx val="11"/>
            <c:marker>
              <c:spPr>
                <a:gradFill rotWithShape="1">
                  <a:gsLst>
                    <a:gs pos="0">
                      <a:schemeClr val="accent3">
                        <a:shade val="46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46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46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46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46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1514-8C4B-AD4F-61C7AC10F129}"/>
              </c:ext>
            </c:extLst>
          </c:dPt>
          <c:dPt>
            <c:idx val="12"/>
            <c:marker>
              <c:spPr>
                <a:gradFill rotWithShape="1">
                  <a:gsLst>
                    <a:gs pos="0">
                      <a:schemeClr val="accent3">
                        <a:shade val="48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48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48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48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48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1514-8C4B-AD4F-61C7AC10F129}"/>
              </c:ext>
            </c:extLst>
          </c:dPt>
          <c:dPt>
            <c:idx val="13"/>
            <c:marker>
              <c:spPr>
                <a:gradFill rotWithShape="1">
                  <a:gsLst>
                    <a:gs pos="0">
                      <a:schemeClr val="accent3">
                        <a:shade val="49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49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49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49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49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1514-8C4B-AD4F-61C7AC10F129}"/>
              </c:ext>
            </c:extLst>
          </c:dPt>
          <c:dPt>
            <c:idx val="14"/>
            <c:marker>
              <c:spPr>
                <a:gradFill rotWithShape="1">
                  <a:gsLst>
                    <a:gs pos="0">
                      <a:schemeClr val="accent3">
                        <a:shade val="50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50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50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50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5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1514-8C4B-AD4F-61C7AC10F129}"/>
              </c:ext>
            </c:extLst>
          </c:dPt>
          <c:dPt>
            <c:idx val="15"/>
            <c:marker>
              <c:spPr>
                <a:gradFill rotWithShape="1">
                  <a:gsLst>
                    <a:gs pos="0">
                      <a:schemeClr val="accent3">
                        <a:shade val="52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52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52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52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52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1514-8C4B-AD4F-61C7AC10F129}"/>
              </c:ext>
            </c:extLst>
          </c:dPt>
          <c:dPt>
            <c:idx val="16"/>
            <c:marker>
              <c:spPr>
                <a:gradFill rotWithShape="1">
                  <a:gsLst>
                    <a:gs pos="0">
                      <a:schemeClr val="accent3">
                        <a:shade val="53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53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53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53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53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1514-8C4B-AD4F-61C7AC10F129}"/>
              </c:ext>
            </c:extLst>
          </c:dPt>
          <c:dPt>
            <c:idx val="17"/>
            <c:marker>
              <c:spPr>
                <a:gradFill rotWithShape="1">
                  <a:gsLst>
                    <a:gs pos="0">
                      <a:schemeClr val="accent3">
                        <a:shade val="54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54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54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54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54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1514-8C4B-AD4F-61C7AC10F129}"/>
              </c:ext>
            </c:extLst>
          </c:dPt>
          <c:dPt>
            <c:idx val="18"/>
            <c:marker>
              <c:spPr>
                <a:gradFill rotWithShape="1">
                  <a:gsLst>
                    <a:gs pos="0">
                      <a:schemeClr val="accent3">
                        <a:shade val="56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56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56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56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56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1514-8C4B-AD4F-61C7AC10F129}"/>
              </c:ext>
            </c:extLst>
          </c:dPt>
          <c:dPt>
            <c:idx val="19"/>
            <c:marker>
              <c:spPr>
                <a:gradFill rotWithShape="1">
                  <a:gsLst>
                    <a:gs pos="0">
                      <a:schemeClr val="accent3">
                        <a:shade val="57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57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57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57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57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1514-8C4B-AD4F-61C7AC10F129}"/>
              </c:ext>
            </c:extLst>
          </c:dPt>
          <c:dPt>
            <c:idx val="20"/>
            <c:marker>
              <c:spPr>
                <a:gradFill rotWithShape="1">
                  <a:gsLst>
                    <a:gs pos="0">
                      <a:schemeClr val="accent3">
                        <a:shade val="59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59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59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59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59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1514-8C4B-AD4F-61C7AC10F129}"/>
              </c:ext>
            </c:extLst>
          </c:dPt>
          <c:dPt>
            <c:idx val="21"/>
            <c:marker>
              <c:spPr>
                <a:gradFill rotWithShape="1">
                  <a:gsLst>
                    <a:gs pos="0">
                      <a:schemeClr val="accent3">
                        <a:shade val="60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60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60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60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6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1514-8C4B-AD4F-61C7AC10F129}"/>
              </c:ext>
            </c:extLst>
          </c:dPt>
          <c:dPt>
            <c:idx val="22"/>
            <c:marker>
              <c:spPr>
                <a:gradFill rotWithShape="1">
                  <a:gsLst>
                    <a:gs pos="0">
                      <a:schemeClr val="accent3">
                        <a:shade val="61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61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61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61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61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1514-8C4B-AD4F-61C7AC10F129}"/>
              </c:ext>
            </c:extLst>
          </c:dPt>
          <c:dPt>
            <c:idx val="23"/>
            <c:marker>
              <c:spPr>
                <a:gradFill rotWithShape="1">
                  <a:gsLst>
                    <a:gs pos="0">
                      <a:schemeClr val="accent3">
                        <a:shade val="63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63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63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63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63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1514-8C4B-AD4F-61C7AC10F129}"/>
              </c:ext>
            </c:extLst>
          </c:dPt>
          <c:dPt>
            <c:idx val="24"/>
            <c:marker>
              <c:spPr>
                <a:gradFill rotWithShape="1">
                  <a:gsLst>
                    <a:gs pos="0">
                      <a:schemeClr val="accent3">
                        <a:shade val="64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64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64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64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64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1514-8C4B-AD4F-61C7AC10F129}"/>
              </c:ext>
            </c:extLst>
          </c:dPt>
          <c:dPt>
            <c:idx val="25"/>
            <c:marker>
              <c:spPr>
                <a:gradFill rotWithShape="1">
                  <a:gsLst>
                    <a:gs pos="0">
                      <a:schemeClr val="accent3">
                        <a:shade val="66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66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66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66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66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1514-8C4B-AD4F-61C7AC10F129}"/>
              </c:ext>
            </c:extLst>
          </c:dPt>
          <c:dPt>
            <c:idx val="26"/>
            <c:marker>
              <c:spPr>
                <a:gradFill rotWithShape="1">
                  <a:gsLst>
                    <a:gs pos="0">
                      <a:schemeClr val="accent3">
                        <a:shade val="67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67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67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67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67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1514-8C4B-AD4F-61C7AC10F129}"/>
              </c:ext>
            </c:extLst>
          </c:dPt>
          <c:dPt>
            <c:idx val="27"/>
            <c:marker>
              <c:spPr>
                <a:gradFill rotWithShape="1">
                  <a:gsLst>
                    <a:gs pos="0">
                      <a:schemeClr val="accent3">
                        <a:shade val="68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68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68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68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68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1514-8C4B-AD4F-61C7AC10F129}"/>
              </c:ext>
            </c:extLst>
          </c:dPt>
          <c:dPt>
            <c:idx val="28"/>
            <c:marker>
              <c:spPr>
                <a:gradFill rotWithShape="1">
                  <a:gsLst>
                    <a:gs pos="0">
                      <a:schemeClr val="accent3">
                        <a:shade val="70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70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70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70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7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1514-8C4B-AD4F-61C7AC10F129}"/>
              </c:ext>
            </c:extLst>
          </c:dPt>
          <c:dPt>
            <c:idx val="29"/>
            <c:marker>
              <c:spPr>
                <a:gradFill rotWithShape="1">
                  <a:gsLst>
                    <a:gs pos="0">
                      <a:schemeClr val="accent3">
                        <a:shade val="71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71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71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71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71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1514-8C4B-AD4F-61C7AC10F129}"/>
              </c:ext>
            </c:extLst>
          </c:dPt>
          <c:dPt>
            <c:idx val="30"/>
            <c:marker>
              <c:spPr>
                <a:gradFill rotWithShape="1">
                  <a:gsLst>
                    <a:gs pos="0">
                      <a:schemeClr val="accent3">
                        <a:shade val="72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72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72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72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72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1514-8C4B-AD4F-61C7AC10F129}"/>
              </c:ext>
            </c:extLst>
          </c:dPt>
          <c:dPt>
            <c:idx val="31"/>
            <c:marker>
              <c:spPr>
                <a:gradFill rotWithShape="1">
                  <a:gsLst>
                    <a:gs pos="0">
                      <a:schemeClr val="accent3">
                        <a:shade val="74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74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74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74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74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1514-8C4B-AD4F-61C7AC10F129}"/>
              </c:ext>
            </c:extLst>
          </c:dPt>
          <c:dPt>
            <c:idx val="32"/>
            <c:marker>
              <c:spPr>
                <a:gradFill rotWithShape="1">
                  <a:gsLst>
                    <a:gs pos="0">
                      <a:schemeClr val="accent3">
                        <a:shade val="75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75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75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75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75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1-1514-8C4B-AD4F-61C7AC10F129}"/>
              </c:ext>
            </c:extLst>
          </c:dPt>
          <c:dPt>
            <c:idx val="33"/>
            <c:marker>
              <c:spPr>
                <a:gradFill rotWithShape="1">
                  <a:gsLst>
                    <a:gs pos="0">
                      <a:schemeClr val="accent3">
                        <a:shade val="77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77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77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77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77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3-1514-8C4B-AD4F-61C7AC10F129}"/>
              </c:ext>
            </c:extLst>
          </c:dPt>
          <c:dPt>
            <c:idx val="34"/>
            <c:marker>
              <c:spPr>
                <a:gradFill rotWithShape="1">
                  <a:gsLst>
                    <a:gs pos="0">
                      <a:schemeClr val="accent3">
                        <a:shade val="78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78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78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78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78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5-1514-8C4B-AD4F-61C7AC10F129}"/>
              </c:ext>
            </c:extLst>
          </c:dPt>
          <c:dPt>
            <c:idx val="35"/>
            <c:marker>
              <c:spPr>
                <a:gradFill rotWithShape="1">
                  <a:gsLst>
                    <a:gs pos="0">
                      <a:schemeClr val="accent3">
                        <a:shade val="79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79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79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79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79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7-1514-8C4B-AD4F-61C7AC10F129}"/>
              </c:ext>
            </c:extLst>
          </c:dPt>
          <c:dPt>
            <c:idx val="36"/>
            <c:marker>
              <c:spPr>
                <a:gradFill rotWithShape="1">
                  <a:gsLst>
                    <a:gs pos="0">
                      <a:schemeClr val="accent3">
                        <a:shade val="81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81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81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81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81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9-1514-8C4B-AD4F-61C7AC10F129}"/>
              </c:ext>
            </c:extLst>
          </c:dPt>
          <c:dPt>
            <c:idx val="37"/>
            <c:marker>
              <c:spPr>
                <a:gradFill rotWithShape="1">
                  <a:gsLst>
                    <a:gs pos="0">
                      <a:schemeClr val="accent3">
                        <a:shade val="82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82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82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82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82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B-1514-8C4B-AD4F-61C7AC10F129}"/>
              </c:ext>
            </c:extLst>
          </c:dPt>
          <c:dPt>
            <c:idx val="38"/>
            <c:marker>
              <c:spPr>
                <a:gradFill rotWithShape="1">
                  <a:gsLst>
                    <a:gs pos="0">
                      <a:schemeClr val="accent3">
                        <a:shade val="84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84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84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84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84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D-1514-8C4B-AD4F-61C7AC10F129}"/>
              </c:ext>
            </c:extLst>
          </c:dPt>
          <c:dPt>
            <c:idx val="39"/>
            <c:marker>
              <c:spPr>
                <a:gradFill rotWithShape="1">
                  <a:gsLst>
                    <a:gs pos="0">
                      <a:schemeClr val="accent3">
                        <a:shade val="85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85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85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85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85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F-1514-8C4B-AD4F-61C7AC10F129}"/>
              </c:ext>
            </c:extLst>
          </c:dPt>
          <c:dPt>
            <c:idx val="40"/>
            <c:marker>
              <c:spPr>
                <a:gradFill rotWithShape="1">
                  <a:gsLst>
                    <a:gs pos="0">
                      <a:schemeClr val="accent3">
                        <a:shade val="86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86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86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86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86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1-1514-8C4B-AD4F-61C7AC10F129}"/>
              </c:ext>
            </c:extLst>
          </c:dPt>
          <c:dPt>
            <c:idx val="41"/>
            <c:marker>
              <c:spPr>
                <a:gradFill rotWithShape="1">
                  <a:gsLst>
                    <a:gs pos="0">
                      <a:schemeClr val="accent3">
                        <a:shade val="88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88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88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88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88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3-1514-8C4B-AD4F-61C7AC10F129}"/>
              </c:ext>
            </c:extLst>
          </c:dPt>
          <c:dPt>
            <c:idx val="42"/>
            <c:marker>
              <c:spPr>
                <a:gradFill rotWithShape="1">
                  <a:gsLst>
                    <a:gs pos="0">
                      <a:schemeClr val="accent3">
                        <a:shade val="89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89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89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89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89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5-1514-8C4B-AD4F-61C7AC10F129}"/>
              </c:ext>
            </c:extLst>
          </c:dPt>
          <c:dPt>
            <c:idx val="43"/>
            <c:marker>
              <c:spPr>
                <a:gradFill rotWithShape="1">
                  <a:gsLst>
                    <a:gs pos="0">
                      <a:schemeClr val="accent3">
                        <a:shade val="90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90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90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90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9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7-1514-8C4B-AD4F-61C7AC10F129}"/>
              </c:ext>
            </c:extLst>
          </c:dPt>
          <c:dPt>
            <c:idx val="44"/>
            <c:marker>
              <c:spPr>
                <a:gradFill rotWithShape="1">
                  <a:gsLst>
                    <a:gs pos="0">
                      <a:schemeClr val="accent3">
                        <a:shade val="92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92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92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92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92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9-1514-8C4B-AD4F-61C7AC10F129}"/>
              </c:ext>
            </c:extLst>
          </c:dPt>
          <c:dPt>
            <c:idx val="45"/>
            <c:marker>
              <c:spPr>
                <a:gradFill rotWithShape="1">
                  <a:gsLst>
                    <a:gs pos="0">
                      <a:schemeClr val="accent3">
                        <a:shade val="93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93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93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93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93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B-1514-8C4B-AD4F-61C7AC10F129}"/>
              </c:ext>
            </c:extLst>
          </c:dPt>
          <c:dPt>
            <c:idx val="46"/>
            <c:marker>
              <c:spPr>
                <a:gradFill rotWithShape="1">
                  <a:gsLst>
                    <a:gs pos="0">
                      <a:schemeClr val="accent3">
                        <a:shade val="95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95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95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95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95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D-1514-8C4B-AD4F-61C7AC10F129}"/>
              </c:ext>
            </c:extLst>
          </c:dPt>
          <c:dPt>
            <c:idx val="47"/>
            <c:marker>
              <c:spPr>
                <a:gradFill rotWithShape="1">
                  <a:gsLst>
                    <a:gs pos="0">
                      <a:schemeClr val="accent3">
                        <a:shade val="96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96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96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96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96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F-1514-8C4B-AD4F-61C7AC10F129}"/>
              </c:ext>
            </c:extLst>
          </c:dPt>
          <c:dPt>
            <c:idx val="48"/>
            <c:marker>
              <c:spPr>
                <a:gradFill rotWithShape="1">
                  <a:gsLst>
                    <a:gs pos="0">
                      <a:schemeClr val="accent3">
                        <a:shade val="97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97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97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97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97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1-1514-8C4B-AD4F-61C7AC10F129}"/>
              </c:ext>
            </c:extLst>
          </c:dPt>
          <c:dPt>
            <c:idx val="49"/>
            <c:marker>
              <c:spPr>
                <a:gradFill rotWithShape="1">
                  <a:gsLst>
                    <a:gs pos="0">
                      <a:schemeClr val="accent3">
                        <a:shade val="99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99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99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99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99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3-1514-8C4B-AD4F-61C7AC10F129}"/>
              </c:ext>
            </c:extLst>
          </c:dPt>
          <c:dPt>
            <c:idx val="50"/>
            <c:marker>
              <c:spPr>
                <a:gradFill rotWithShape="1">
                  <a:gsLst>
                    <a:gs pos="0">
                      <a:schemeClr val="accent3"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/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5-1514-8C4B-AD4F-61C7AC10F129}"/>
              </c:ext>
            </c:extLst>
          </c:dPt>
          <c:dPt>
            <c:idx val="51"/>
            <c:marker>
              <c:spPr>
                <a:gradFill rotWithShape="1">
                  <a:gsLst>
                    <a:gs pos="0">
                      <a:schemeClr val="accent3">
                        <a:tint val="98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98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98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98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98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7-1514-8C4B-AD4F-61C7AC10F129}"/>
              </c:ext>
            </c:extLst>
          </c:dPt>
          <c:dPt>
            <c:idx val="52"/>
            <c:marker>
              <c:spPr>
                <a:gradFill rotWithShape="1">
                  <a:gsLst>
                    <a:gs pos="0">
                      <a:schemeClr val="accent3">
                        <a:tint val="97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97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97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97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97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9-1514-8C4B-AD4F-61C7AC10F129}"/>
              </c:ext>
            </c:extLst>
          </c:dPt>
          <c:dPt>
            <c:idx val="53"/>
            <c:marker>
              <c:spPr>
                <a:gradFill rotWithShape="1">
                  <a:gsLst>
                    <a:gs pos="0">
                      <a:schemeClr val="accent3">
                        <a:tint val="96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96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96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96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96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B-1514-8C4B-AD4F-61C7AC10F129}"/>
              </c:ext>
            </c:extLst>
          </c:dPt>
          <c:dPt>
            <c:idx val="54"/>
            <c:marker>
              <c:spPr>
                <a:gradFill rotWithShape="1">
                  <a:gsLst>
                    <a:gs pos="0">
                      <a:schemeClr val="accent3">
                        <a:tint val="94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94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94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94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94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D-1514-8C4B-AD4F-61C7AC10F129}"/>
              </c:ext>
            </c:extLst>
          </c:dPt>
          <c:dPt>
            <c:idx val="55"/>
            <c:marker>
              <c:spPr>
                <a:gradFill rotWithShape="1">
                  <a:gsLst>
                    <a:gs pos="0">
                      <a:schemeClr val="accent3">
                        <a:tint val="93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93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93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93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93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F-1514-8C4B-AD4F-61C7AC10F129}"/>
              </c:ext>
            </c:extLst>
          </c:dPt>
          <c:dPt>
            <c:idx val="56"/>
            <c:marker>
              <c:spPr>
                <a:gradFill rotWithShape="1">
                  <a:gsLst>
                    <a:gs pos="0">
                      <a:schemeClr val="accent3">
                        <a:tint val="91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91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91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91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91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1-1514-8C4B-AD4F-61C7AC10F129}"/>
              </c:ext>
            </c:extLst>
          </c:dPt>
          <c:dPt>
            <c:idx val="57"/>
            <c:marker>
              <c:spPr>
                <a:gradFill rotWithShape="1">
                  <a:gsLst>
                    <a:gs pos="0">
                      <a:schemeClr val="accent3">
                        <a:tint val="90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90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90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90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9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3-1514-8C4B-AD4F-61C7AC10F129}"/>
              </c:ext>
            </c:extLst>
          </c:dPt>
          <c:dPt>
            <c:idx val="58"/>
            <c:marker>
              <c:spPr>
                <a:gradFill rotWithShape="1">
                  <a:gsLst>
                    <a:gs pos="0">
                      <a:schemeClr val="accent3">
                        <a:tint val="89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89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89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89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89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5-1514-8C4B-AD4F-61C7AC10F129}"/>
              </c:ext>
            </c:extLst>
          </c:dPt>
          <c:dPt>
            <c:idx val="59"/>
            <c:marker>
              <c:spPr>
                <a:gradFill rotWithShape="1">
                  <a:gsLst>
                    <a:gs pos="0">
                      <a:schemeClr val="accent3">
                        <a:tint val="87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87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87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87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87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7-1514-8C4B-AD4F-61C7AC10F129}"/>
              </c:ext>
            </c:extLst>
          </c:dPt>
          <c:dPt>
            <c:idx val="60"/>
            <c:marker>
              <c:spPr>
                <a:gradFill rotWithShape="1">
                  <a:gsLst>
                    <a:gs pos="0">
                      <a:schemeClr val="accent3">
                        <a:tint val="86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86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86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86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86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9-1514-8C4B-AD4F-61C7AC10F129}"/>
              </c:ext>
            </c:extLst>
          </c:dPt>
          <c:dPt>
            <c:idx val="61"/>
            <c:marker>
              <c:spPr>
                <a:gradFill rotWithShape="1">
                  <a:gsLst>
                    <a:gs pos="0">
                      <a:schemeClr val="accent3">
                        <a:tint val="85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85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85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85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85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B-1514-8C4B-AD4F-61C7AC10F129}"/>
              </c:ext>
            </c:extLst>
          </c:dPt>
          <c:dPt>
            <c:idx val="62"/>
            <c:marker>
              <c:spPr>
                <a:gradFill rotWithShape="1">
                  <a:gsLst>
                    <a:gs pos="0">
                      <a:schemeClr val="accent3">
                        <a:tint val="83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83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83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83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83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D-1514-8C4B-AD4F-61C7AC10F129}"/>
              </c:ext>
            </c:extLst>
          </c:dPt>
          <c:dPt>
            <c:idx val="63"/>
            <c:marker>
              <c:spPr>
                <a:gradFill rotWithShape="1">
                  <a:gsLst>
                    <a:gs pos="0">
                      <a:schemeClr val="accent3">
                        <a:tint val="82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82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82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82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82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F-1514-8C4B-AD4F-61C7AC10F129}"/>
              </c:ext>
            </c:extLst>
          </c:dPt>
          <c:dPt>
            <c:idx val="64"/>
            <c:marker>
              <c:spPr>
                <a:gradFill rotWithShape="1">
                  <a:gsLst>
                    <a:gs pos="0">
                      <a:schemeClr val="accent3">
                        <a:tint val="80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80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80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80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8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1-1514-8C4B-AD4F-61C7AC10F129}"/>
              </c:ext>
            </c:extLst>
          </c:dPt>
          <c:dPt>
            <c:idx val="65"/>
            <c:marker>
              <c:spPr>
                <a:gradFill rotWithShape="1">
                  <a:gsLst>
                    <a:gs pos="0">
                      <a:schemeClr val="accent3">
                        <a:tint val="79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79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79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79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79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3-1514-8C4B-AD4F-61C7AC10F129}"/>
              </c:ext>
            </c:extLst>
          </c:dPt>
          <c:dPt>
            <c:idx val="66"/>
            <c:marker>
              <c:spPr>
                <a:gradFill rotWithShape="1">
                  <a:gsLst>
                    <a:gs pos="0">
                      <a:schemeClr val="accent3">
                        <a:tint val="78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78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78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78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78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5-1514-8C4B-AD4F-61C7AC10F129}"/>
              </c:ext>
            </c:extLst>
          </c:dPt>
          <c:dPt>
            <c:idx val="67"/>
            <c:marker>
              <c:spPr>
                <a:gradFill rotWithShape="1">
                  <a:gsLst>
                    <a:gs pos="0">
                      <a:schemeClr val="accent3">
                        <a:tint val="76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76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76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76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76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7-1514-8C4B-AD4F-61C7AC10F129}"/>
              </c:ext>
            </c:extLst>
          </c:dPt>
          <c:dPt>
            <c:idx val="68"/>
            <c:marker>
              <c:spPr>
                <a:gradFill rotWithShape="1">
                  <a:gsLst>
                    <a:gs pos="0">
                      <a:schemeClr val="accent3">
                        <a:tint val="75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75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75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75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75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9-1514-8C4B-AD4F-61C7AC10F129}"/>
              </c:ext>
            </c:extLst>
          </c:dPt>
          <c:dPt>
            <c:idx val="69"/>
            <c:marker>
              <c:spPr>
                <a:gradFill rotWithShape="1">
                  <a:gsLst>
                    <a:gs pos="0">
                      <a:schemeClr val="accent3">
                        <a:tint val="73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73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73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73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73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B-1514-8C4B-AD4F-61C7AC10F129}"/>
              </c:ext>
            </c:extLst>
          </c:dPt>
          <c:dPt>
            <c:idx val="70"/>
            <c:marker>
              <c:spPr>
                <a:gradFill rotWithShape="1">
                  <a:gsLst>
                    <a:gs pos="0">
                      <a:schemeClr val="accent3">
                        <a:tint val="72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72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72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72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72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D-1514-8C4B-AD4F-61C7AC10F129}"/>
              </c:ext>
            </c:extLst>
          </c:dPt>
          <c:dPt>
            <c:idx val="71"/>
            <c:marker>
              <c:spPr>
                <a:gradFill rotWithShape="1">
                  <a:gsLst>
                    <a:gs pos="0">
                      <a:schemeClr val="accent3">
                        <a:tint val="71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71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71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71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71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F-1514-8C4B-AD4F-61C7AC10F129}"/>
              </c:ext>
            </c:extLst>
          </c:dPt>
          <c:dPt>
            <c:idx val="72"/>
            <c:marker>
              <c:spPr>
                <a:gradFill rotWithShape="1">
                  <a:gsLst>
                    <a:gs pos="0">
                      <a:schemeClr val="accent3">
                        <a:tint val="69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69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69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69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69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1-1514-8C4B-AD4F-61C7AC10F129}"/>
              </c:ext>
            </c:extLst>
          </c:dPt>
          <c:dPt>
            <c:idx val="73"/>
            <c:marker>
              <c:spPr>
                <a:gradFill rotWithShape="1">
                  <a:gsLst>
                    <a:gs pos="0">
                      <a:schemeClr val="accent3">
                        <a:tint val="68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68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68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68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68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3-1514-8C4B-AD4F-61C7AC10F129}"/>
              </c:ext>
            </c:extLst>
          </c:dPt>
          <c:dPt>
            <c:idx val="74"/>
            <c:marker>
              <c:spPr>
                <a:gradFill rotWithShape="1">
                  <a:gsLst>
                    <a:gs pos="0">
                      <a:schemeClr val="accent3">
                        <a:tint val="67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67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67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67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67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5-1514-8C4B-AD4F-61C7AC10F129}"/>
              </c:ext>
            </c:extLst>
          </c:dPt>
          <c:dPt>
            <c:idx val="75"/>
            <c:marker>
              <c:spPr>
                <a:gradFill rotWithShape="1">
                  <a:gsLst>
                    <a:gs pos="0">
                      <a:schemeClr val="accent3">
                        <a:tint val="65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65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65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65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65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7-1514-8C4B-AD4F-61C7AC10F129}"/>
              </c:ext>
            </c:extLst>
          </c:dPt>
          <c:dPt>
            <c:idx val="76"/>
            <c:marker>
              <c:spPr>
                <a:gradFill rotWithShape="1">
                  <a:gsLst>
                    <a:gs pos="0">
                      <a:schemeClr val="accent3">
                        <a:tint val="64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64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64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64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64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9-1514-8C4B-AD4F-61C7AC10F129}"/>
              </c:ext>
            </c:extLst>
          </c:dPt>
          <c:dPt>
            <c:idx val="77"/>
            <c:marker>
              <c:spPr>
                <a:gradFill rotWithShape="1">
                  <a:gsLst>
                    <a:gs pos="0">
                      <a:schemeClr val="accent3">
                        <a:tint val="62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62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62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62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62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B-1514-8C4B-AD4F-61C7AC10F129}"/>
              </c:ext>
            </c:extLst>
          </c:dPt>
          <c:dPt>
            <c:idx val="78"/>
            <c:marker>
              <c:spPr>
                <a:gradFill rotWithShape="1">
                  <a:gsLst>
                    <a:gs pos="0">
                      <a:schemeClr val="accent3">
                        <a:tint val="61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61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61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61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61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D-1514-8C4B-AD4F-61C7AC10F129}"/>
              </c:ext>
            </c:extLst>
          </c:dPt>
          <c:dPt>
            <c:idx val="79"/>
            <c:marker>
              <c:spPr>
                <a:gradFill rotWithShape="1">
                  <a:gsLst>
                    <a:gs pos="0">
                      <a:schemeClr val="accent3">
                        <a:tint val="60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60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60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60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6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F-1514-8C4B-AD4F-61C7AC10F129}"/>
              </c:ext>
            </c:extLst>
          </c:dPt>
          <c:dPt>
            <c:idx val="80"/>
            <c:marker>
              <c:spPr>
                <a:gradFill rotWithShape="1">
                  <a:gsLst>
                    <a:gs pos="0">
                      <a:schemeClr val="accent3">
                        <a:tint val="58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58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58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58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58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1-1514-8C4B-AD4F-61C7AC10F129}"/>
              </c:ext>
            </c:extLst>
          </c:dPt>
          <c:dPt>
            <c:idx val="81"/>
            <c:marker>
              <c:spPr>
                <a:gradFill rotWithShape="1">
                  <a:gsLst>
                    <a:gs pos="0">
                      <a:schemeClr val="accent3">
                        <a:tint val="57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57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57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57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57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3-1514-8C4B-AD4F-61C7AC10F129}"/>
              </c:ext>
            </c:extLst>
          </c:dPt>
          <c:dPt>
            <c:idx val="82"/>
            <c:marker>
              <c:spPr>
                <a:gradFill rotWithShape="1">
                  <a:gsLst>
                    <a:gs pos="0">
                      <a:schemeClr val="accent3">
                        <a:tint val="55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55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55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55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55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5-1514-8C4B-AD4F-61C7AC10F129}"/>
              </c:ext>
            </c:extLst>
          </c:dPt>
          <c:dPt>
            <c:idx val="83"/>
            <c:marker>
              <c:spPr>
                <a:gradFill rotWithShape="1">
                  <a:gsLst>
                    <a:gs pos="0">
                      <a:schemeClr val="accent3">
                        <a:tint val="54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54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54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54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54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7-1514-8C4B-AD4F-61C7AC10F129}"/>
              </c:ext>
            </c:extLst>
          </c:dPt>
          <c:dPt>
            <c:idx val="84"/>
            <c:marker>
              <c:spPr>
                <a:gradFill rotWithShape="1">
                  <a:gsLst>
                    <a:gs pos="0">
                      <a:schemeClr val="accent3">
                        <a:tint val="53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53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53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53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53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9-1514-8C4B-AD4F-61C7AC10F129}"/>
              </c:ext>
            </c:extLst>
          </c:dPt>
          <c:dPt>
            <c:idx val="85"/>
            <c:marker>
              <c:spPr>
                <a:gradFill rotWithShape="1">
                  <a:gsLst>
                    <a:gs pos="0">
                      <a:schemeClr val="accent3">
                        <a:tint val="51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51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51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51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51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B-1514-8C4B-AD4F-61C7AC10F129}"/>
              </c:ext>
            </c:extLst>
          </c:dPt>
          <c:dPt>
            <c:idx val="86"/>
            <c:marker>
              <c:spPr>
                <a:gradFill rotWithShape="1">
                  <a:gsLst>
                    <a:gs pos="0">
                      <a:schemeClr val="accent3">
                        <a:tint val="50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50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50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50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5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D-1514-8C4B-AD4F-61C7AC10F129}"/>
              </c:ext>
            </c:extLst>
          </c:dPt>
          <c:dPt>
            <c:idx val="87"/>
            <c:marker>
              <c:spPr>
                <a:gradFill rotWithShape="1">
                  <a:gsLst>
                    <a:gs pos="0">
                      <a:schemeClr val="accent3">
                        <a:tint val="49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49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49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49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49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F-1514-8C4B-AD4F-61C7AC10F129}"/>
              </c:ext>
            </c:extLst>
          </c:dPt>
          <c:dPt>
            <c:idx val="88"/>
            <c:marker>
              <c:spPr>
                <a:gradFill rotWithShape="1">
                  <a:gsLst>
                    <a:gs pos="0">
                      <a:schemeClr val="accent3">
                        <a:tint val="47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47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47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47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47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1-1514-8C4B-AD4F-61C7AC10F129}"/>
              </c:ext>
            </c:extLst>
          </c:dPt>
          <c:dPt>
            <c:idx val="89"/>
            <c:marker>
              <c:spPr>
                <a:gradFill rotWithShape="1">
                  <a:gsLst>
                    <a:gs pos="0">
                      <a:schemeClr val="accent3">
                        <a:tint val="46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46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46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46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46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3-1514-8C4B-AD4F-61C7AC10F129}"/>
              </c:ext>
            </c:extLst>
          </c:dPt>
          <c:dPt>
            <c:idx val="90"/>
            <c:marker>
              <c:spPr>
                <a:gradFill rotWithShape="1">
                  <a:gsLst>
                    <a:gs pos="0">
                      <a:schemeClr val="accent3">
                        <a:tint val="44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44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44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44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44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5-1514-8C4B-AD4F-61C7AC10F129}"/>
              </c:ext>
            </c:extLst>
          </c:dPt>
          <c:dPt>
            <c:idx val="91"/>
            <c:marker>
              <c:spPr>
                <a:gradFill rotWithShape="1">
                  <a:gsLst>
                    <a:gs pos="0">
                      <a:schemeClr val="accent3">
                        <a:tint val="43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43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43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43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43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7-1514-8C4B-AD4F-61C7AC10F129}"/>
              </c:ext>
            </c:extLst>
          </c:dPt>
          <c:dPt>
            <c:idx val="92"/>
            <c:marker>
              <c:spPr>
                <a:gradFill rotWithShape="1">
                  <a:gsLst>
                    <a:gs pos="0">
                      <a:schemeClr val="accent3">
                        <a:tint val="42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42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42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42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42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9-1514-8C4B-AD4F-61C7AC10F129}"/>
              </c:ext>
            </c:extLst>
          </c:dPt>
          <c:dPt>
            <c:idx val="93"/>
            <c:marker>
              <c:spPr>
                <a:gradFill rotWithShape="1">
                  <a:gsLst>
                    <a:gs pos="0">
                      <a:schemeClr val="accent3">
                        <a:tint val="40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40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40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40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4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B-1514-8C4B-AD4F-61C7AC10F129}"/>
              </c:ext>
            </c:extLst>
          </c:dPt>
          <c:dPt>
            <c:idx val="94"/>
            <c:marker>
              <c:spPr>
                <a:gradFill rotWithShape="1">
                  <a:gsLst>
                    <a:gs pos="0">
                      <a:schemeClr val="accent3">
                        <a:tint val="39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39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39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39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39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D-1514-8C4B-AD4F-61C7AC10F129}"/>
              </c:ext>
            </c:extLst>
          </c:dPt>
          <c:dPt>
            <c:idx val="95"/>
            <c:marker>
              <c:spPr>
                <a:gradFill rotWithShape="1">
                  <a:gsLst>
                    <a:gs pos="0">
                      <a:schemeClr val="accent3">
                        <a:tint val="37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37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37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37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37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F-1514-8C4B-AD4F-61C7AC10F129}"/>
              </c:ext>
            </c:extLst>
          </c:dPt>
          <c:dPt>
            <c:idx val="96"/>
            <c:marker>
              <c:spPr>
                <a:gradFill rotWithShape="1">
                  <a:gsLst>
                    <a:gs pos="0">
                      <a:schemeClr val="accent3">
                        <a:tint val="36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36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36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36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36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1-1514-8C4B-AD4F-61C7AC10F129}"/>
              </c:ext>
            </c:extLst>
          </c:dPt>
          <c:dPt>
            <c:idx val="97"/>
            <c:marker>
              <c:spPr>
                <a:gradFill rotWithShape="1">
                  <a:gsLst>
                    <a:gs pos="0">
                      <a:schemeClr val="accent3">
                        <a:tint val="35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35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35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35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35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3-1514-8C4B-AD4F-61C7AC10F129}"/>
              </c:ext>
            </c:extLst>
          </c:dPt>
          <c:dPt>
            <c:idx val="98"/>
            <c:marker>
              <c:spPr>
                <a:gradFill rotWithShape="1">
                  <a:gsLst>
                    <a:gs pos="0">
                      <a:schemeClr val="accent3">
                        <a:tint val="33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33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33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33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33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5-1514-8C4B-AD4F-61C7AC10F129}"/>
              </c:ext>
            </c:extLst>
          </c:dPt>
          <c:dPt>
            <c:idx val="99"/>
            <c:marker>
              <c:spPr>
                <a:gradFill rotWithShape="1">
                  <a:gsLst>
                    <a:gs pos="0">
                      <a:schemeClr val="accent3">
                        <a:tint val="32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32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32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32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32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7-1514-8C4B-AD4F-61C7AC10F129}"/>
              </c:ext>
            </c:extLst>
          </c:dPt>
          <c:xVal>
            <c:numRef>
              <c:f>Dashboard!$A$10:$A$109</c:f>
              <c:numCache>
                <c:formatCode>0.0</c:formatCode>
                <c:ptCount val="100"/>
                <c:pt idx="0">
                  <c:v>100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</c:numCache>
            </c:numRef>
          </c:xVal>
          <c:yVal>
            <c:numRef>
              <c:f>Dashboard!$C$10:$C$109</c:f>
              <c:numCache>
                <c:formatCode>0.0000</c:formatCode>
                <c:ptCount val="100"/>
                <c:pt idx="0">
                  <c:v>0.1095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A7-6648-936E-E3004E71E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PKA energy (eV)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0.0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Final MSD (A^2)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0.0000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Maximum displacement vs PKA energy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695544603059279"/>
          <c:y val="4.8506944444444443E-2"/>
          <c:w val="0.8100396646179826"/>
          <c:h val="0.84919513888888887"/>
        </c:manualLayout>
      </c:layout>
      <c:scatterChart>
        <c:scatterStyle val="lineMarker"/>
        <c:varyColors val="1"/>
        <c:ser>
          <c:idx val="0"/>
          <c:order val="0"/>
          <c:tx>
            <c:v>Maximum displacement (A)</c:v>
          </c:tx>
          <c:marker>
            <c:symbol val="circle"/>
            <c:size val="5"/>
          </c:marker>
          <c:dPt>
            <c:idx val="0"/>
            <c:marker>
              <c:spPr>
                <a:gradFill rotWithShape="1">
                  <a:gsLst>
                    <a:gs pos="0">
                      <a:schemeClr val="accent3">
                        <a:shade val="31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31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31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31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31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D5B-FC46-8257-D7C3001C8D6B}"/>
              </c:ext>
            </c:extLst>
          </c:dPt>
          <c:dPt>
            <c:idx val="1"/>
            <c:marker>
              <c:spPr>
                <a:gradFill rotWithShape="1">
                  <a:gsLst>
                    <a:gs pos="0">
                      <a:schemeClr val="accent3">
                        <a:shade val="32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32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32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32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32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D5B-FC46-8257-D7C3001C8D6B}"/>
              </c:ext>
            </c:extLst>
          </c:dPt>
          <c:dPt>
            <c:idx val="2"/>
            <c:marker>
              <c:spPr>
                <a:gradFill rotWithShape="1">
                  <a:gsLst>
                    <a:gs pos="0">
                      <a:schemeClr val="accent3">
                        <a:shade val="34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34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34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34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34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D5B-FC46-8257-D7C3001C8D6B}"/>
              </c:ext>
            </c:extLst>
          </c:dPt>
          <c:dPt>
            <c:idx val="3"/>
            <c:marker>
              <c:spPr>
                <a:gradFill rotWithShape="1">
                  <a:gsLst>
                    <a:gs pos="0">
                      <a:schemeClr val="accent3">
                        <a:shade val="35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35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35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35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35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D5B-FC46-8257-D7C3001C8D6B}"/>
              </c:ext>
            </c:extLst>
          </c:dPt>
          <c:dPt>
            <c:idx val="4"/>
            <c:marker>
              <c:spPr>
                <a:gradFill rotWithShape="1">
                  <a:gsLst>
                    <a:gs pos="0">
                      <a:schemeClr val="accent3">
                        <a:shade val="36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36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36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36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36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D5B-FC46-8257-D7C3001C8D6B}"/>
              </c:ext>
            </c:extLst>
          </c:dPt>
          <c:dPt>
            <c:idx val="5"/>
            <c:marker>
              <c:spPr>
                <a:gradFill rotWithShape="1">
                  <a:gsLst>
                    <a:gs pos="0">
                      <a:schemeClr val="accent3">
                        <a:shade val="38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38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38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38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38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CD5B-FC46-8257-D7C3001C8D6B}"/>
              </c:ext>
            </c:extLst>
          </c:dPt>
          <c:dPt>
            <c:idx val="6"/>
            <c:marker>
              <c:spPr>
                <a:gradFill rotWithShape="1">
                  <a:gsLst>
                    <a:gs pos="0">
                      <a:schemeClr val="accent3">
                        <a:shade val="39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39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39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39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39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CD5B-FC46-8257-D7C3001C8D6B}"/>
              </c:ext>
            </c:extLst>
          </c:dPt>
          <c:dPt>
            <c:idx val="7"/>
            <c:marker>
              <c:spPr>
                <a:gradFill rotWithShape="1">
                  <a:gsLst>
                    <a:gs pos="0">
                      <a:schemeClr val="accent3">
                        <a:shade val="41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41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41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41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41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CD5B-FC46-8257-D7C3001C8D6B}"/>
              </c:ext>
            </c:extLst>
          </c:dPt>
          <c:dPt>
            <c:idx val="8"/>
            <c:marker>
              <c:spPr>
                <a:gradFill rotWithShape="1">
                  <a:gsLst>
                    <a:gs pos="0">
                      <a:schemeClr val="accent3">
                        <a:shade val="42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42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42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42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42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CD5B-FC46-8257-D7C3001C8D6B}"/>
              </c:ext>
            </c:extLst>
          </c:dPt>
          <c:dPt>
            <c:idx val="9"/>
            <c:marker>
              <c:spPr>
                <a:gradFill rotWithShape="1">
                  <a:gsLst>
                    <a:gs pos="0">
                      <a:schemeClr val="accent3">
                        <a:shade val="43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43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43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43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43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CD5B-FC46-8257-D7C3001C8D6B}"/>
              </c:ext>
            </c:extLst>
          </c:dPt>
          <c:dPt>
            <c:idx val="10"/>
            <c:marker>
              <c:spPr>
                <a:gradFill rotWithShape="1">
                  <a:gsLst>
                    <a:gs pos="0">
                      <a:schemeClr val="accent3">
                        <a:shade val="45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45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45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45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45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CD5B-FC46-8257-D7C3001C8D6B}"/>
              </c:ext>
            </c:extLst>
          </c:dPt>
          <c:dPt>
            <c:idx val="11"/>
            <c:marker>
              <c:spPr>
                <a:gradFill rotWithShape="1">
                  <a:gsLst>
                    <a:gs pos="0">
                      <a:schemeClr val="accent3">
                        <a:shade val="46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46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46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46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46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CD5B-FC46-8257-D7C3001C8D6B}"/>
              </c:ext>
            </c:extLst>
          </c:dPt>
          <c:dPt>
            <c:idx val="12"/>
            <c:marker>
              <c:spPr>
                <a:gradFill rotWithShape="1">
                  <a:gsLst>
                    <a:gs pos="0">
                      <a:schemeClr val="accent3">
                        <a:shade val="48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48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48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48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48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CD5B-FC46-8257-D7C3001C8D6B}"/>
              </c:ext>
            </c:extLst>
          </c:dPt>
          <c:dPt>
            <c:idx val="13"/>
            <c:marker>
              <c:spPr>
                <a:gradFill rotWithShape="1">
                  <a:gsLst>
                    <a:gs pos="0">
                      <a:schemeClr val="accent3">
                        <a:shade val="49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49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49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49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49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CD5B-FC46-8257-D7C3001C8D6B}"/>
              </c:ext>
            </c:extLst>
          </c:dPt>
          <c:dPt>
            <c:idx val="14"/>
            <c:marker>
              <c:spPr>
                <a:gradFill rotWithShape="1">
                  <a:gsLst>
                    <a:gs pos="0">
                      <a:schemeClr val="accent3">
                        <a:shade val="50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50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50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50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5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CD5B-FC46-8257-D7C3001C8D6B}"/>
              </c:ext>
            </c:extLst>
          </c:dPt>
          <c:dPt>
            <c:idx val="15"/>
            <c:marker>
              <c:spPr>
                <a:gradFill rotWithShape="1">
                  <a:gsLst>
                    <a:gs pos="0">
                      <a:schemeClr val="accent3">
                        <a:shade val="52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52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52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52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52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CD5B-FC46-8257-D7C3001C8D6B}"/>
              </c:ext>
            </c:extLst>
          </c:dPt>
          <c:dPt>
            <c:idx val="16"/>
            <c:marker>
              <c:spPr>
                <a:gradFill rotWithShape="1">
                  <a:gsLst>
                    <a:gs pos="0">
                      <a:schemeClr val="accent3">
                        <a:shade val="53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53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53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53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53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CD5B-FC46-8257-D7C3001C8D6B}"/>
              </c:ext>
            </c:extLst>
          </c:dPt>
          <c:dPt>
            <c:idx val="17"/>
            <c:marker>
              <c:spPr>
                <a:gradFill rotWithShape="1">
                  <a:gsLst>
                    <a:gs pos="0">
                      <a:schemeClr val="accent3">
                        <a:shade val="54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54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54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54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54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CD5B-FC46-8257-D7C3001C8D6B}"/>
              </c:ext>
            </c:extLst>
          </c:dPt>
          <c:dPt>
            <c:idx val="18"/>
            <c:marker>
              <c:spPr>
                <a:gradFill rotWithShape="1">
                  <a:gsLst>
                    <a:gs pos="0">
                      <a:schemeClr val="accent3">
                        <a:shade val="56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56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56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56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56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CD5B-FC46-8257-D7C3001C8D6B}"/>
              </c:ext>
            </c:extLst>
          </c:dPt>
          <c:dPt>
            <c:idx val="19"/>
            <c:marker>
              <c:spPr>
                <a:gradFill rotWithShape="1">
                  <a:gsLst>
                    <a:gs pos="0">
                      <a:schemeClr val="accent3">
                        <a:shade val="57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57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57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57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57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CD5B-FC46-8257-D7C3001C8D6B}"/>
              </c:ext>
            </c:extLst>
          </c:dPt>
          <c:dPt>
            <c:idx val="20"/>
            <c:marker>
              <c:spPr>
                <a:gradFill rotWithShape="1">
                  <a:gsLst>
                    <a:gs pos="0">
                      <a:schemeClr val="accent3">
                        <a:shade val="59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59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59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59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59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CD5B-FC46-8257-D7C3001C8D6B}"/>
              </c:ext>
            </c:extLst>
          </c:dPt>
          <c:dPt>
            <c:idx val="21"/>
            <c:marker>
              <c:spPr>
                <a:gradFill rotWithShape="1">
                  <a:gsLst>
                    <a:gs pos="0">
                      <a:schemeClr val="accent3">
                        <a:shade val="60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60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60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60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6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CD5B-FC46-8257-D7C3001C8D6B}"/>
              </c:ext>
            </c:extLst>
          </c:dPt>
          <c:dPt>
            <c:idx val="22"/>
            <c:marker>
              <c:spPr>
                <a:gradFill rotWithShape="1">
                  <a:gsLst>
                    <a:gs pos="0">
                      <a:schemeClr val="accent3">
                        <a:shade val="61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61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61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61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61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CD5B-FC46-8257-D7C3001C8D6B}"/>
              </c:ext>
            </c:extLst>
          </c:dPt>
          <c:dPt>
            <c:idx val="23"/>
            <c:marker>
              <c:spPr>
                <a:gradFill rotWithShape="1">
                  <a:gsLst>
                    <a:gs pos="0">
                      <a:schemeClr val="accent3">
                        <a:shade val="63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63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63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63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63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CD5B-FC46-8257-D7C3001C8D6B}"/>
              </c:ext>
            </c:extLst>
          </c:dPt>
          <c:dPt>
            <c:idx val="24"/>
            <c:marker>
              <c:spPr>
                <a:gradFill rotWithShape="1">
                  <a:gsLst>
                    <a:gs pos="0">
                      <a:schemeClr val="accent3">
                        <a:shade val="64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64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64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64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64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CD5B-FC46-8257-D7C3001C8D6B}"/>
              </c:ext>
            </c:extLst>
          </c:dPt>
          <c:dPt>
            <c:idx val="25"/>
            <c:marker>
              <c:spPr>
                <a:gradFill rotWithShape="1">
                  <a:gsLst>
                    <a:gs pos="0">
                      <a:schemeClr val="accent3">
                        <a:shade val="66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66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66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66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66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CD5B-FC46-8257-D7C3001C8D6B}"/>
              </c:ext>
            </c:extLst>
          </c:dPt>
          <c:dPt>
            <c:idx val="26"/>
            <c:marker>
              <c:spPr>
                <a:gradFill rotWithShape="1">
                  <a:gsLst>
                    <a:gs pos="0">
                      <a:schemeClr val="accent3">
                        <a:shade val="67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67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67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67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67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CD5B-FC46-8257-D7C3001C8D6B}"/>
              </c:ext>
            </c:extLst>
          </c:dPt>
          <c:dPt>
            <c:idx val="27"/>
            <c:marker>
              <c:spPr>
                <a:gradFill rotWithShape="1">
                  <a:gsLst>
                    <a:gs pos="0">
                      <a:schemeClr val="accent3">
                        <a:shade val="68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68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68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68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68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CD5B-FC46-8257-D7C3001C8D6B}"/>
              </c:ext>
            </c:extLst>
          </c:dPt>
          <c:dPt>
            <c:idx val="28"/>
            <c:marker>
              <c:spPr>
                <a:gradFill rotWithShape="1">
                  <a:gsLst>
                    <a:gs pos="0">
                      <a:schemeClr val="accent3">
                        <a:shade val="70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70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70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70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7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CD5B-FC46-8257-D7C3001C8D6B}"/>
              </c:ext>
            </c:extLst>
          </c:dPt>
          <c:dPt>
            <c:idx val="29"/>
            <c:marker>
              <c:spPr>
                <a:gradFill rotWithShape="1">
                  <a:gsLst>
                    <a:gs pos="0">
                      <a:schemeClr val="accent3">
                        <a:shade val="71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71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71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71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71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CD5B-FC46-8257-D7C3001C8D6B}"/>
              </c:ext>
            </c:extLst>
          </c:dPt>
          <c:dPt>
            <c:idx val="30"/>
            <c:marker>
              <c:spPr>
                <a:gradFill rotWithShape="1">
                  <a:gsLst>
                    <a:gs pos="0">
                      <a:schemeClr val="accent3">
                        <a:shade val="72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72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72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72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72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CD5B-FC46-8257-D7C3001C8D6B}"/>
              </c:ext>
            </c:extLst>
          </c:dPt>
          <c:dPt>
            <c:idx val="31"/>
            <c:marker>
              <c:spPr>
                <a:gradFill rotWithShape="1">
                  <a:gsLst>
                    <a:gs pos="0">
                      <a:schemeClr val="accent3">
                        <a:shade val="74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74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74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74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74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CD5B-FC46-8257-D7C3001C8D6B}"/>
              </c:ext>
            </c:extLst>
          </c:dPt>
          <c:dPt>
            <c:idx val="32"/>
            <c:marker>
              <c:spPr>
                <a:gradFill rotWithShape="1">
                  <a:gsLst>
                    <a:gs pos="0">
                      <a:schemeClr val="accent3">
                        <a:shade val="75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75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75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75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75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1-CD5B-FC46-8257-D7C3001C8D6B}"/>
              </c:ext>
            </c:extLst>
          </c:dPt>
          <c:dPt>
            <c:idx val="33"/>
            <c:marker>
              <c:spPr>
                <a:gradFill rotWithShape="1">
                  <a:gsLst>
                    <a:gs pos="0">
                      <a:schemeClr val="accent3">
                        <a:shade val="77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77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77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77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77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3-CD5B-FC46-8257-D7C3001C8D6B}"/>
              </c:ext>
            </c:extLst>
          </c:dPt>
          <c:dPt>
            <c:idx val="34"/>
            <c:marker>
              <c:spPr>
                <a:gradFill rotWithShape="1">
                  <a:gsLst>
                    <a:gs pos="0">
                      <a:schemeClr val="accent3">
                        <a:shade val="78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78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78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78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78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5-CD5B-FC46-8257-D7C3001C8D6B}"/>
              </c:ext>
            </c:extLst>
          </c:dPt>
          <c:dPt>
            <c:idx val="35"/>
            <c:marker>
              <c:spPr>
                <a:gradFill rotWithShape="1">
                  <a:gsLst>
                    <a:gs pos="0">
                      <a:schemeClr val="accent3">
                        <a:shade val="79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79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79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79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79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7-CD5B-FC46-8257-D7C3001C8D6B}"/>
              </c:ext>
            </c:extLst>
          </c:dPt>
          <c:dPt>
            <c:idx val="36"/>
            <c:marker>
              <c:spPr>
                <a:gradFill rotWithShape="1">
                  <a:gsLst>
                    <a:gs pos="0">
                      <a:schemeClr val="accent3">
                        <a:shade val="81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81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81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81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81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9-CD5B-FC46-8257-D7C3001C8D6B}"/>
              </c:ext>
            </c:extLst>
          </c:dPt>
          <c:dPt>
            <c:idx val="37"/>
            <c:marker>
              <c:spPr>
                <a:gradFill rotWithShape="1">
                  <a:gsLst>
                    <a:gs pos="0">
                      <a:schemeClr val="accent3">
                        <a:shade val="82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82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82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82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82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B-CD5B-FC46-8257-D7C3001C8D6B}"/>
              </c:ext>
            </c:extLst>
          </c:dPt>
          <c:dPt>
            <c:idx val="38"/>
            <c:marker>
              <c:spPr>
                <a:gradFill rotWithShape="1">
                  <a:gsLst>
                    <a:gs pos="0">
                      <a:schemeClr val="accent3">
                        <a:shade val="84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84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84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84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84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D-CD5B-FC46-8257-D7C3001C8D6B}"/>
              </c:ext>
            </c:extLst>
          </c:dPt>
          <c:dPt>
            <c:idx val="39"/>
            <c:marker>
              <c:spPr>
                <a:gradFill rotWithShape="1">
                  <a:gsLst>
                    <a:gs pos="0">
                      <a:schemeClr val="accent3">
                        <a:shade val="85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85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85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85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85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F-CD5B-FC46-8257-D7C3001C8D6B}"/>
              </c:ext>
            </c:extLst>
          </c:dPt>
          <c:dPt>
            <c:idx val="40"/>
            <c:marker>
              <c:spPr>
                <a:gradFill rotWithShape="1">
                  <a:gsLst>
                    <a:gs pos="0">
                      <a:schemeClr val="accent3">
                        <a:shade val="86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86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86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86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86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1-CD5B-FC46-8257-D7C3001C8D6B}"/>
              </c:ext>
            </c:extLst>
          </c:dPt>
          <c:dPt>
            <c:idx val="41"/>
            <c:marker>
              <c:spPr>
                <a:gradFill rotWithShape="1">
                  <a:gsLst>
                    <a:gs pos="0">
                      <a:schemeClr val="accent3">
                        <a:shade val="88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88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88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88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88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3-CD5B-FC46-8257-D7C3001C8D6B}"/>
              </c:ext>
            </c:extLst>
          </c:dPt>
          <c:dPt>
            <c:idx val="42"/>
            <c:marker>
              <c:spPr>
                <a:gradFill rotWithShape="1">
                  <a:gsLst>
                    <a:gs pos="0">
                      <a:schemeClr val="accent3">
                        <a:shade val="89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89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89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89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89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5-CD5B-FC46-8257-D7C3001C8D6B}"/>
              </c:ext>
            </c:extLst>
          </c:dPt>
          <c:dPt>
            <c:idx val="43"/>
            <c:marker>
              <c:spPr>
                <a:gradFill rotWithShape="1">
                  <a:gsLst>
                    <a:gs pos="0">
                      <a:schemeClr val="accent3">
                        <a:shade val="90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90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90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90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9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7-CD5B-FC46-8257-D7C3001C8D6B}"/>
              </c:ext>
            </c:extLst>
          </c:dPt>
          <c:dPt>
            <c:idx val="44"/>
            <c:marker>
              <c:spPr>
                <a:gradFill rotWithShape="1">
                  <a:gsLst>
                    <a:gs pos="0">
                      <a:schemeClr val="accent3">
                        <a:shade val="92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92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92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92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92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9-CD5B-FC46-8257-D7C3001C8D6B}"/>
              </c:ext>
            </c:extLst>
          </c:dPt>
          <c:dPt>
            <c:idx val="45"/>
            <c:marker>
              <c:spPr>
                <a:gradFill rotWithShape="1">
                  <a:gsLst>
                    <a:gs pos="0">
                      <a:schemeClr val="accent3">
                        <a:shade val="93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93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93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93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93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B-CD5B-FC46-8257-D7C3001C8D6B}"/>
              </c:ext>
            </c:extLst>
          </c:dPt>
          <c:dPt>
            <c:idx val="46"/>
            <c:marker>
              <c:spPr>
                <a:gradFill rotWithShape="1">
                  <a:gsLst>
                    <a:gs pos="0">
                      <a:schemeClr val="accent3">
                        <a:shade val="95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95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95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95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95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D-CD5B-FC46-8257-D7C3001C8D6B}"/>
              </c:ext>
            </c:extLst>
          </c:dPt>
          <c:dPt>
            <c:idx val="47"/>
            <c:marker>
              <c:spPr>
                <a:gradFill rotWithShape="1">
                  <a:gsLst>
                    <a:gs pos="0">
                      <a:schemeClr val="accent3">
                        <a:shade val="96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96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96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96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96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F-CD5B-FC46-8257-D7C3001C8D6B}"/>
              </c:ext>
            </c:extLst>
          </c:dPt>
          <c:dPt>
            <c:idx val="48"/>
            <c:marker>
              <c:spPr>
                <a:gradFill rotWithShape="1">
                  <a:gsLst>
                    <a:gs pos="0">
                      <a:schemeClr val="accent3">
                        <a:shade val="97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97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97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97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97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1-CD5B-FC46-8257-D7C3001C8D6B}"/>
              </c:ext>
            </c:extLst>
          </c:dPt>
          <c:dPt>
            <c:idx val="49"/>
            <c:marker>
              <c:spPr>
                <a:gradFill rotWithShape="1">
                  <a:gsLst>
                    <a:gs pos="0">
                      <a:schemeClr val="accent3">
                        <a:shade val="99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99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99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shade val="99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shade val="99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3-CD5B-FC46-8257-D7C3001C8D6B}"/>
              </c:ext>
            </c:extLst>
          </c:dPt>
          <c:dPt>
            <c:idx val="50"/>
            <c:marker>
              <c:spPr>
                <a:gradFill rotWithShape="1">
                  <a:gsLst>
                    <a:gs pos="0">
                      <a:schemeClr val="accent3">
                        <a:shade val="51000"/>
                        <a:satMod val="130000"/>
                      </a:schemeClr>
                    </a:gs>
                    <a:gs pos="80000">
                      <a:schemeClr val="accent3"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/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5-CD5B-FC46-8257-D7C3001C8D6B}"/>
              </c:ext>
            </c:extLst>
          </c:dPt>
          <c:dPt>
            <c:idx val="51"/>
            <c:marker>
              <c:spPr>
                <a:gradFill rotWithShape="1">
                  <a:gsLst>
                    <a:gs pos="0">
                      <a:schemeClr val="accent3">
                        <a:tint val="98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98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98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98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98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7-CD5B-FC46-8257-D7C3001C8D6B}"/>
              </c:ext>
            </c:extLst>
          </c:dPt>
          <c:dPt>
            <c:idx val="52"/>
            <c:marker>
              <c:spPr>
                <a:gradFill rotWithShape="1">
                  <a:gsLst>
                    <a:gs pos="0">
                      <a:schemeClr val="accent3">
                        <a:tint val="97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97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97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97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97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9-CD5B-FC46-8257-D7C3001C8D6B}"/>
              </c:ext>
            </c:extLst>
          </c:dPt>
          <c:dPt>
            <c:idx val="53"/>
            <c:marker>
              <c:spPr>
                <a:gradFill rotWithShape="1">
                  <a:gsLst>
                    <a:gs pos="0">
                      <a:schemeClr val="accent3">
                        <a:tint val="96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96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96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96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96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B-CD5B-FC46-8257-D7C3001C8D6B}"/>
              </c:ext>
            </c:extLst>
          </c:dPt>
          <c:dPt>
            <c:idx val="54"/>
            <c:marker>
              <c:spPr>
                <a:gradFill rotWithShape="1">
                  <a:gsLst>
                    <a:gs pos="0">
                      <a:schemeClr val="accent3">
                        <a:tint val="94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94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94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94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94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D-CD5B-FC46-8257-D7C3001C8D6B}"/>
              </c:ext>
            </c:extLst>
          </c:dPt>
          <c:dPt>
            <c:idx val="55"/>
            <c:marker>
              <c:spPr>
                <a:gradFill rotWithShape="1">
                  <a:gsLst>
                    <a:gs pos="0">
                      <a:schemeClr val="accent3">
                        <a:tint val="93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93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93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93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93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F-CD5B-FC46-8257-D7C3001C8D6B}"/>
              </c:ext>
            </c:extLst>
          </c:dPt>
          <c:dPt>
            <c:idx val="56"/>
            <c:marker>
              <c:spPr>
                <a:gradFill rotWithShape="1">
                  <a:gsLst>
                    <a:gs pos="0">
                      <a:schemeClr val="accent3">
                        <a:tint val="91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91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91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91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91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1-CD5B-FC46-8257-D7C3001C8D6B}"/>
              </c:ext>
            </c:extLst>
          </c:dPt>
          <c:dPt>
            <c:idx val="57"/>
            <c:marker>
              <c:spPr>
                <a:gradFill rotWithShape="1">
                  <a:gsLst>
                    <a:gs pos="0">
                      <a:schemeClr val="accent3">
                        <a:tint val="90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90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90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90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9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3-CD5B-FC46-8257-D7C3001C8D6B}"/>
              </c:ext>
            </c:extLst>
          </c:dPt>
          <c:dPt>
            <c:idx val="58"/>
            <c:marker>
              <c:spPr>
                <a:gradFill rotWithShape="1">
                  <a:gsLst>
                    <a:gs pos="0">
                      <a:schemeClr val="accent3">
                        <a:tint val="89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89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89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89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89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5-CD5B-FC46-8257-D7C3001C8D6B}"/>
              </c:ext>
            </c:extLst>
          </c:dPt>
          <c:dPt>
            <c:idx val="59"/>
            <c:marker>
              <c:spPr>
                <a:gradFill rotWithShape="1">
                  <a:gsLst>
                    <a:gs pos="0">
                      <a:schemeClr val="accent3">
                        <a:tint val="87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87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87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87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87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7-CD5B-FC46-8257-D7C3001C8D6B}"/>
              </c:ext>
            </c:extLst>
          </c:dPt>
          <c:dPt>
            <c:idx val="60"/>
            <c:marker>
              <c:spPr>
                <a:gradFill rotWithShape="1">
                  <a:gsLst>
                    <a:gs pos="0">
                      <a:schemeClr val="accent3">
                        <a:tint val="86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86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86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86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86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9-CD5B-FC46-8257-D7C3001C8D6B}"/>
              </c:ext>
            </c:extLst>
          </c:dPt>
          <c:dPt>
            <c:idx val="61"/>
            <c:marker>
              <c:spPr>
                <a:gradFill rotWithShape="1">
                  <a:gsLst>
                    <a:gs pos="0">
                      <a:schemeClr val="accent3">
                        <a:tint val="85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85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85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85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85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B-CD5B-FC46-8257-D7C3001C8D6B}"/>
              </c:ext>
            </c:extLst>
          </c:dPt>
          <c:dPt>
            <c:idx val="62"/>
            <c:marker>
              <c:spPr>
                <a:gradFill rotWithShape="1">
                  <a:gsLst>
                    <a:gs pos="0">
                      <a:schemeClr val="accent3">
                        <a:tint val="83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83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83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83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83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D-CD5B-FC46-8257-D7C3001C8D6B}"/>
              </c:ext>
            </c:extLst>
          </c:dPt>
          <c:dPt>
            <c:idx val="63"/>
            <c:marker>
              <c:spPr>
                <a:gradFill rotWithShape="1">
                  <a:gsLst>
                    <a:gs pos="0">
                      <a:schemeClr val="accent3">
                        <a:tint val="82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82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82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82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82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F-CD5B-FC46-8257-D7C3001C8D6B}"/>
              </c:ext>
            </c:extLst>
          </c:dPt>
          <c:dPt>
            <c:idx val="64"/>
            <c:marker>
              <c:spPr>
                <a:gradFill rotWithShape="1">
                  <a:gsLst>
                    <a:gs pos="0">
                      <a:schemeClr val="accent3">
                        <a:tint val="80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80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80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80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8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1-CD5B-FC46-8257-D7C3001C8D6B}"/>
              </c:ext>
            </c:extLst>
          </c:dPt>
          <c:dPt>
            <c:idx val="65"/>
            <c:marker>
              <c:spPr>
                <a:gradFill rotWithShape="1">
                  <a:gsLst>
                    <a:gs pos="0">
                      <a:schemeClr val="accent3">
                        <a:tint val="79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79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79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79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79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3-CD5B-FC46-8257-D7C3001C8D6B}"/>
              </c:ext>
            </c:extLst>
          </c:dPt>
          <c:dPt>
            <c:idx val="66"/>
            <c:marker>
              <c:spPr>
                <a:gradFill rotWithShape="1">
                  <a:gsLst>
                    <a:gs pos="0">
                      <a:schemeClr val="accent3">
                        <a:tint val="78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78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78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78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78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5-CD5B-FC46-8257-D7C3001C8D6B}"/>
              </c:ext>
            </c:extLst>
          </c:dPt>
          <c:dPt>
            <c:idx val="67"/>
            <c:marker>
              <c:spPr>
                <a:gradFill rotWithShape="1">
                  <a:gsLst>
                    <a:gs pos="0">
                      <a:schemeClr val="accent3">
                        <a:tint val="76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76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76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76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76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7-CD5B-FC46-8257-D7C3001C8D6B}"/>
              </c:ext>
            </c:extLst>
          </c:dPt>
          <c:dPt>
            <c:idx val="68"/>
            <c:marker>
              <c:spPr>
                <a:gradFill rotWithShape="1">
                  <a:gsLst>
                    <a:gs pos="0">
                      <a:schemeClr val="accent3">
                        <a:tint val="75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75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75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75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75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9-CD5B-FC46-8257-D7C3001C8D6B}"/>
              </c:ext>
            </c:extLst>
          </c:dPt>
          <c:dPt>
            <c:idx val="69"/>
            <c:marker>
              <c:spPr>
                <a:gradFill rotWithShape="1">
                  <a:gsLst>
                    <a:gs pos="0">
                      <a:schemeClr val="accent3">
                        <a:tint val="73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73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73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73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73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B-CD5B-FC46-8257-D7C3001C8D6B}"/>
              </c:ext>
            </c:extLst>
          </c:dPt>
          <c:dPt>
            <c:idx val="70"/>
            <c:marker>
              <c:spPr>
                <a:gradFill rotWithShape="1">
                  <a:gsLst>
                    <a:gs pos="0">
                      <a:schemeClr val="accent3">
                        <a:tint val="72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72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72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72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72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D-CD5B-FC46-8257-D7C3001C8D6B}"/>
              </c:ext>
            </c:extLst>
          </c:dPt>
          <c:dPt>
            <c:idx val="71"/>
            <c:marker>
              <c:spPr>
                <a:gradFill rotWithShape="1">
                  <a:gsLst>
                    <a:gs pos="0">
                      <a:schemeClr val="accent3">
                        <a:tint val="71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71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71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71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71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F-CD5B-FC46-8257-D7C3001C8D6B}"/>
              </c:ext>
            </c:extLst>
          </c:dPt>
          <c:dPt>
            <c:idx val="72"/>
            <c:marker>
              <c:spPr>
                <a:gradFill rotWithShape="1">
                  <a:gsLst>
                    <a:gs pos="0">
                      <a:schemeClr val="accent3">
                        <a:tint val="69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69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69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69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69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1-CD5B-FC46-8257-D7C3001C8D6B}"/>
              </c:ext>
            </c:extLst>
          </c:dPt>
          <c:dPt>
            <c:idx val="73"/>
            <c:marker>
              <c:spPr>
                <a:gradFill rotWithShape="1">
                  <a:gsLst>
                    <a:gs pos="0">
                      <a:schemeClr val="accent3">
                        <a:tint val="68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68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68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68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68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3-CD5B-FC46-8257-D7C3001C8D6B}"/>
              </c:ext>
            </c:extLst>
          </c:dPt>
          <c:dPt>
            <c:idx val="74"/>
            <c:marker>
              <c:spPr>
                <a:gradFill rotWithShape="1">
                  <a:gsLst>
                    <a:gs pos="0">
                      <a:schemeClr val="accent3">
                        <a:tint val="67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67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67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67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67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5-CD5B-FC46-8257-D7C3001C8D6B}"/>
              </c:ext>
            </c:extLst>
          </c:dPt>
          <c:dPt>
            <c:idx val="75"/>
            <c:marker>
              <c:spPr>
                <a:gradFill rotWithShape="1">
                  <a:gsLst>
                    <a:gs pos="0">
                      <a:schemeClr val="accent3">
                        <a:tint val="65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65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65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65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65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7-CD5B-FC46-8257-D7C3001C8D6B}"/>
              </c:ext>
            </c:extLst>
          </c:dPt>
          <c:dPt>
            <c:idx val="76"/>
            <c:marker>
              <c:spPr>
                <a:gradFill rotWithShape="1">
                  <a:gsLst>
                    <a:gs pos="0">
                      <a:schemeClr val="accent3">
                        <a:tint val="64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64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64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64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64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9-CD5B-FC46-8257-D7C3001C8D6B}"/>
              </c:ext>
            </c:extLst>
          </c:dPt>
          <c:dPt>
            <c:idx val="77"/>
            <c:marker>
              <c:spPr>
                <a:gradFill rotWithShape="1">
                  <a:gsLst>
                    <a:gs pos="0">
                      <a:schemeClr val="accent3">
                        <a:tint val="62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62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62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62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62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B-CD5B-FC46-8257-D7C3001C8D6B}"/>
              </c:ext>
            </c:extLst>
          </c:dPt>
          <c:dPt>
            <c:idx val="78"/>
            <c:marker>
              <c:spPr>
                <a:gradFill rotWithShape="1">
                  <a:gsLst>
                    <a:gs pos="0">
                      <a:schemeClr val="accent3">
                        <a:tint val="61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61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61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61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61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D-CD5B-FC46-8257-D7C3001C8D6B}"/>
              </c:ext>
            </c:extLst>
          </c:dPt>
          <c:dPt>
            <c:idx val="79"/>
            <c:marker>
              <c:spPr>
                <a:gradFill rotWithShape="1">
                  <a:gsLst>
                    <a:gs pos="0">
                      <a:schemeClr val="accent3">
                        <a:tint val="60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60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60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60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6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F-CD5B-FC46-8257-D7C3001C8D6B}"/>
              </c:ext>
            </c:extLst>
          </c:dPt>
          <c:dPt>
            <c:idx val="80"/>
            <c:marker>
              <c:spPr>
                <a:gradFill rotWithShape="1">
                  <a:gsLst>
                    <a:gs pos="0">
                      <a:schemeClr val="accent3">
                        <a:tint val="58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58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58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58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58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1-CD5B-FC46-8257-D7C3001C8D6B}"/>
              </c:ext>
            </c:extLst>
          </c:dPt>
          <c:dPt>
            <c:idx val="81"/>
            <c:marker>
              <c:spPr>
                <a:gradFill rotWithShape="1">
                  <a:gsLst>
                    <a:gs pos="0">
                      <a:schemeClr val="accent3">
                        <a:tint val="57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57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57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57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57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3-CD5B-FC46-8257-D7C3001C8D6B}"/>
              </c:ext>
            </c:extLst>
          </c:dPt>
          <c:dPt>
            <c:idx val="82"/>
            <c:marker>
              <c:spPr>
                <a:gradFill rotWithShape="1">
                  <a:gsLst>
                    <a:gs pos="0">
                      <a:schemeClr val="accent3">
                        <a:tint val="55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55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55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55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55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5-CD5B-FC46-8257-D7C3001C8D6B}"/>
              </c:ext>
            </c:extLst>
          </c:dPt>
          <c:dPt>
            <c:idx val="83"/>
            <c:marker>
              <c:spPr>
                <a:gradFill rotWithShape="1">
                  <a:gsLst>
                    <a:gs pos="0">
                      <a:schemeClr val="accent3">
                        <a:tint val="54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54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54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54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54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7-CD5B-FC46-8257-D7C3001C8D6B}"/>
              </c:ext>
            </c:extLst>
          </c:dPt>
          <c:dPt>
            <c:idx val="84"/>
            <c:marker>
              <c:spPr>
                <a:gradFill rotWithShape="1">
                  <a:gsLst>
                    <a:gs pos="0">
                      <a:schemeClr val="accent3">
                        <a:tint val="53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53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53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53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53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9-CD5B-FC46-8257-D7C3001C8D6B}"/>
              </c:ext>
            </c:extLst>
          </c:dPt>
          <c:dPt>
            <c:idx val="85"/>
            <c:marker>
              <c:spPr>
                <a:gradFill rotWithShape="1">
                  <a:gsLst>
                    <a:gs pos="0">
                      <a:schemeClr val="accent3">
                        <a:tint val="51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51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51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51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51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B-CD5B-FC46-8257-D7C3001C8D6B}"/>
              </c:ext>
            </c:extLst>
          </c:dPt>
          <c:dPt>
            <c:idx val="86"/>
            <c:marker>
              <c:spPr>
                <a:gradFill rotWithShape="1">
                  <a:gsLst>
                    <a:gs pos="0">
                      <a:schemeClr val="accent3">
                        <a:tint val="50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50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50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50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5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D-CD5B-FC46-8257-D7C3001C8D6B}"/>
              </c:ext>
            </c:extLst>
          </c:dPt>
          <c:dPt>
            <c:idx val="87"/>
            <c:marker>
              <c:spPr>
                <a:gradFill rotWithShape="1">
                  <a:gsLst>
                    <a:gs pos="0">
                      <a:schemeClr val="accent3">
                        <a:tint val="49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49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49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49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49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F-CD5B-FC46-8257-D7C3001C8D6B}"/>
              </c:ext>
            </c:extLst>
          </c:dPt>
          <c:dPt>
            <c:idx val="88"/>
            <c:marker>
              <c:spPr>
                <a:gradFill rotWithShape="1">
                  <a:gsLst>
                    <a:gs pos="0">
                      <a:schemeClr val="accent3">
                        <a:tint val="47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47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47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47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47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1-CD5B-FC46-8257-D7C3001C8D6B}"/>
              </c:ext>
            </c:extLst>
          </c:dPt>
          <c:dPt>
            <c:idx val="89"/>
            <c:marker>
              <c:spPr>
                <a:gradFill rotWithShape="1">
                  <a:gsLst>
                    <a:gs pos="0">
                      <a:schemeClr val="accent3">
                        <a:tint val="46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46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46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46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46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3-CD5B-FC46-8257-D7C3001C8D6B}"/>
              </c:ext>
            </c:extLst>
          </c:dPt>
          <c:dPt>
            <c:idx val="90"/>
            <c:marker>
              <c:spPr>
                <a:gradFill rotWithShape="1">
                  <a:gsLst>
                    <a:gs pos="0">
                      <a:schemeClr val="accent3">
                        <a:tint val="44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44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44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44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44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5-CD5B-FC46-8257-D7C3001C8D6B}"/>
              </c:ext>
            </c:extLst>
          </c:dPt>
          <c:dPt>
            <c:idx val="91"/>
            <c:marker>
              <c:spPr>
                <a:gradFill rotWithShape="1">
                  <a:gsLst>
                    <a:gs pos="0">
                      <a:schemeClr val="accent3">
                        <a:tint val="43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43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43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43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43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7-CD5B-FC46-8257-D7C3001C8D6B}"/>
              </c:ext>
            </c:extLst>
          </c:dPt>
          <c:dPt>
            <c:idx val="92"/>
            <c:marker>
              <c:spPr>
                <a:gradFill rotWithShape="1">
                  <a:gsLst>
                    <a:gs pos="0">
                      <a:schemeClr val="accent3">
                        <a:tint val="42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42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42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42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42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9-CD5B-FC46-8257-D7C3001C8D6B}"/>
              </c:ext>
            </c:extLst>
          </c:dPt>
          <c:dPt>
            <c:idx val="93"/>
            <c:marker>
              <c:spPr>
                <a:gradFill rotWithShape="1">
                  <a:gsLst>
                    <a:gs pos="0">
                      <a:schemeClr val="accent3">
                        <a:tint val="40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40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40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40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4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B-CD5B-FC46-8257-D7C3001C8D6B}"/>
              </c:ext>
            </c:extLst>
          </c:dPt>
          <c:dPt>
            <c:idx val="94"/>
            <c:marker>
              <c:spPr>
                <a:gradFill rotWithShape="1">
                  <a:gsLst>
                    <a:gs pos="0">
                      <a:schemeClr val="accent3">
                        <a:tint val="39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39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39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39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39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D-CD5B-FC46-8257-D7C3001C8D6B}"/>
              </c:ext>
            </c:extLst>
          </c:dPt>
          <c:dPt>
            <c:idx val="95"/>
            <c:marker>
              <c:spPr>
                <a:gradFill rotWithShape="1">
                  <a:gsLst>
                    <a:gs pos="0">
                      <a:schemeClr val="accent3">
                        <a:tint val="37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37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37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37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37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F-CD5B-FC46-8257-D7C3001C8D6B}"/>
              </c:ext>
            </c:extLst>
          </c:dPt>
          <c:dPt>
            <c:idx val="96"/>
            <c:marker>
              <c:spPr>
                <a:gradFill rotWithShape="1">
                  <a:gsLst>
                    <a:gs pos="0">
                      <a:schemeClr val="accent3">
                        <a:tint val="36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36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36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36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36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1-CD5B-FC46-8257-D7C3001C8D6B}"/>
              </c:ext>
            </c:extLst>
          </c:dPt>
          <c:dPt>
            <c:idx val="97"/>
            <c:marker>
              <c:spPr>
                <a:gradFill rotWithShape="1">
                  <a:gsLst>
                    <a:gs pos="0">
                      <a:schemeClr val="accent3">
                        <a:tint val="35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35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35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35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35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3-CD5B-FC46-8257-D7C3001C8D6B}"/>
              </c:ext>
            </c:extLst>
          </c:dPt>
          <c:dPt>
            <c:idx val="98"/>
            <c:marker>
              <c:spPr>
                <a:gradFill rotWithShape="1">
                  <a:gsLst>
                    <a:gs pos="0">
                      <a:schemeClr val="accent3">
                        <a:tint val="33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33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33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33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33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5-CD5B-FC46-8257-D7C3001C8D6B}"/>
              </c:ext>
            </c:extLst>
          </c:dPt>
          <c:dPt>
            <c:idx val="99"/>
            <c:marker>
              <c:spPr>
                <a:gradFill rotWithShape="1">
                  <a:gsLst>
                    <a:gs pos="0">
                      <a:schemeClr val="accent3">
                        <a:tint val="32000"/>
                        <a:shade val="51000"/>
                        <a:satMod val="130000"/>
                      </a:schemeClr>
                    </a:gs>
                    <a:gs pos="80000">
                      <a:schemeClr val="accent3">
                        <a:tint val="32000"/>
                        <a:shade val="93000"/>
                        <a:satMod val="130000"/>
                      </a:schemeClr>
                    </a:gs>
                    <a:gs pos="100000">
                      <a:schemeClr val="accent3">
                        <a:tint val="32000"/>
                        <a:shade val="94000"/>
                        <a:satMod val="135000"/>
                      </a:schemeClr>
                    </a:gs>
                  </a:gsLst>
                  <a:lin ang="16200000" scaled="0"/>
                </a:gradFill>
                <a:ln w="9525">
                  <a:solidFill>
                    <a:schemeClr val="accent3">
                      <a:tint val="32000"/>
                    </a:schemeClr>
                  </a:solidFill>
                  <a:round/>
                </a:ln>
                <a:effectLst>
                  <a:outerShdw blurRad="40000" dist="23000" dir="5400000" rotWithShape="0">
                    <a:srgbClr val="000000">
                      <a:alpha val="35000"/>
                    </a:srgbClr>
                  </a:outerShdw>
                </a:effectLst>
              </c:spPr>
            </c:marker>
            <c:bubble3D val="0"/>
            <c:spPr>
              <a:ln w="9525" cap="rnd">
                <a:solidFill>
                  <a:schemeClr val="accent3">
                    <a:tint val="32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7-CD5B-FC46-8257-D7C3001C8D6B}"/>
              </c:ext>
            </c:extLst>
          </c:dPt>
          <c:xVal>
            <c:numRef>
              <c:f>Dashboard!$A$10:$A$109</c:f>
              <c:numCache>
                <c:formatCode>0.0</c:formatCode>
                <c:ptCount val="100"/>
                <c:pt idx="0">
                  <c:v>100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</c:numCache>
            </c:numRef>
          </c:xVal>
          <c:yVal>
            <c:numRef>
              <c:f>Dashboard!$D$10:$D$109</c:f>
              <c:numCache>
                <c:formatCode>0.0000</c:formatCode>
                <c:ptCount val="100"/>
                <c:pt idx="0">
                  <c:v>4.7786999999999997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22-174E-B1AF-2E5BDCA288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PKA energy (eV)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0.0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Maximum displacement (A)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0.0000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</xdr:row>
      <xdr:rowOff>0</xdr:rowOff>
    </xdr:from>
    <xdr:ext cx="50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19</xdr:row>
      <xdr:rowOff>0</xdr:rowOff>
    </xdr:from>
    <xdr:ext cx="50546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36</xdr:row>
      <xdr:rowOff>0</xdr:rowOff>
    </xdr:from>
    <xdr:ext cx="50927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245807</xdr:colOff>
      <xdr:row>26</xdr:row>
      <xdr:rowOff>20484</xdr:rowOff>
    </xdr:from>
    <xdr:to>
      <xdr:col>15</xdr:col>
      <xdr:colOff>672927</xdr:colOff>
      <xdr:row>48</xdr:row>
      <xdr:rowOff>102420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F10FAEB-AE0E-F3AB-4987-227971CB0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5162" y="4813710"/>
          <a:ext cx="11898088" cy="4137742"/>
        </a:xfrm>
        <a:prstGeom prst="rect">
          <a:avLst/>
        </a:prstGeom>
      </xdr:spPr>
    </xdr:pic>
    <xdr:clientData/>
  </xdr:twoCellAnchor>
  <xdr:twoCellAnchor editAs="oneCell">
    <xdr:from>
      <xdr:col>1</xdr:col>
      <xdr:colOff>245806</xdr:colOff>
      <xdr:row>2</xdr:row>
      <xdr:rowOff>40967</xdr:rowOff>
    </xdr:from>
    <xdr:to>
      <xdr:col>15</xdr:col>
      <xdr:colOff>566028</xdr:colOff>
      <xdr:row>24</xdr:row>
      <xdr:rowOff>132062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2E5017-57B1-D212-520F-4748372DA3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5161" y="409677"/>
          <a:ext cx="11791190" cy="414690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4"/>
  <sheetViews>
    <sheetView showGridLines="0" zoomScale="58" workbookViewId="0">
      <pane ySplit="4" topLeftCell="A5" activePane="bottomLeft" state="frozen"/>
      <selection pane="bottomLeft" activeCell="G20" sqref="G20"/>
    </sheetView>
  </sheetViews>
  <sheetFormatPr baseColWidth="10" defaultColWidth="8.83203125" defaultRowHeight="15" x14ac:dyDescent="0.2"/>
  <cols>
    <col min="1" max="1" width="9" customWidth="1"/>
    <col min="2" max="2" width="13" customWidth="1"/>
    <col min="3" max="4" width="12" customWidth="1"/>
    <col min="5" max="5" width="15" customWidth="1"/>
    <col min="6" max="6" width="22" customWidth="1"/>
    <col min="7" max="7" width="16" customWidth="1"/>
    <col min="8" max="9" width="20" customWidth="1"/>
    <col min="10" max="10" width="16" customWidth="1"/>
    <col min="11" max="11" width="23" customWidth="1"/>
    <col min="12" max="12" width="32" customWidth="1"/>
  </cols>
  <sheetData>
    <row r="1" spans="1:12" ht="30" customHeight="1" x14ac:dyDescent="0.2">
      <c r="A1" s="24" t="s">
        <v>14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1:12" ht="19" x14ac:dyDescent="0.25">
      <c r="A2" s="22" t="s">
        <v>35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4" spans="1:12" ht="42" customHeight="1" x14ac:dyDescent="0.2">
      <c r="A4" s="1" t="s">
        <v>15</v>
      </c>
      <c r="B4" s="1" t="s">
        <v>3</v>
      </c>
      <c r="C4" s="1" t="s">
        <v>6</v>
      </c>
      <c r="D4" s="1" t="s">
        <v>10</v>
      </c>
      <c r="E4" s="1" t="s">
        <v>16</v>
      </c>
      <c r="F4" s="1" t="s">
        <v>17</v>
      </c>
      <c r="G4" s="1" t="s">
        <v>12</v>
      </c>
      <c r="H4" s="1" t="s">
        <v>13</v>
      </c>
      <c r="I4" s="1"/>
      <c r="J4" s="1"/>
      <c r="K4" s="1"/>
      <c r="L4" s="1"/>
    </row>
    <row r="5" spans="1:12" x14ac:dyDescent="0.2">
      <c r="A5" s="2">
        <f>IF(D5="","",ROW()-4)</f>
        <v>1</v>
      </c>
      <c r="B5" s="3" t="s">
        <v>4</v>
      </c>
      <c r="C5" s="3">
        <v>110</v>
      </c>
      <c r="D5" s="4">
        <v>100</v>
      </c>
      <c r="E5" s="5">
        <v>300</v>
      </c>
      <c r="F5" s="6">
        <v>5</v>
      </c>
      <c r="G5" s="7">
        <v>0.1095</v>
      </c>
      <c r="H5" s="7">
        <v>4.7786999999999997</v>
      </c>
      <c r="I5" s="6"/>
      <c r="J5" s="7"/>
      <c r="K5" s="7"/>
      <c r="L5" s="8"/>
    </row>
    <row r="6" spans="1:12" x14ac:dyDescent="0.2">
      <c r="A6" s="2"/>
      <c r="B6" s="3"/>
      <c r="C6" s="3"/>
      <c r="D6" s="4"/>
      <c r="E6" s="5"/>
      <c r="F6" s="6"/>
      <c r="G6" s="7"/>
      <c r="H6" s="7"/>
      <c r="I6" s="6"/>
      <c r="J6" s="7"/>
      <c r="K6" s="7"/>
      <c r="L6" s="8"/>
    </row>
    <row r="7" spans="1:12" x14ac:dyDescent="0.2">
      <c r="A7" s="2"/>
      <c r="B7" s="3"/>
      <c r="C7" s="3"/>
      <c r="D7" s="4"/>
      <c r="E7" s="5"/>
      <c r="F7" s="6"/>
      <c r="G7" s="7"/>
      <c r="H7" s="7"/>
      <c r="I7" s="6"/>
      <c r="J7" s="7"/>
      <c r="K7" s="7"/>
      <c r="L7" s="8"/>
    </row>
    <row r="8" spans="1:12" x14ac:dyDescent="0.2">
      <c r="A8" s="2"/>
      <c r="B8" s="3"/>
      <c r="C8" s="3"/>
      <c r="D8" s="4"/>
      <c r="E8" s="5"/>
      <c r="F8" s="6"/>
      <c r="G8" s="7"/>
      <c r="H8" s="7"/>
      <c r="I8" s="6"/>
      <c r="J8" s="7"/>
      <c r="K8" s="7"/>
      <c r="L8" s="8"/>
    </row>
    <row r="9" spans="1:12" x14ac:dyDescent="0.2">
      <c r="A9" s="2"/>
      <c r="B9" s="3"/>
      <c r="C9" s="3"/>
      <c r="D9" s="4"/>
      <c r="E9" s="5"/>
      <c r="F9" s="6"/>
      <c r="G9" s="7"/>
      <c r="H9" s="7"/>
      <c r="I9" s="6"/>
      <c r="J9" s="7"/>
      <c r="K9" s="7"/>
      <c r="L9" s="8"/>
    </row>
    <row r="10" spans="1:12" x14ac:dyDescent="0.2">
      <c r="A10" s="2"/>
      <c r="B10" s="3"/>
      <c r="C10" s="3"/>
      <c r="D10" s="4"/>
      <c r="E10" s="5"/>
      <c r="F10" s="6"/>
      <c r="G10" s="7"/>
      <c r="H10" s="7"/>
      <c r="I10" s="6"/>
      <c r="J10" s="7"/>
      <c r="K10" s="7"/>
      <c r="L10" s="8"/>
    </row>
    <row r="11" spans="1:12" x14ac:dyDescent="0.2">
      <c r="A11" s="2" t="str">
        <f t="shared" ref="A11:A36" si="0">IF(D11="","",ROW()-4)</f>
        <v/>
      </c>
      <c r="B11" s="3"/>
      <c r="C11" s="3"/>
      <c r="D11" s="4"/>
      <c r="E11" s="5"/>
      <c r="F11" s="6"/>
      <c r="G11" s="7"/>
      <c r="H11" s="7"/>
      <c r="I11" s="6"/>
      <c r="J11" s="7"/>
      <c r="K11" s="7"/>
      <c r="L11" s="8"/>
    </row>
    <row r="12" spans="1:12" x14ac:dyDescent="0.2">
      <c r="A12" s="2" t="str">
        <f t="shared" si="0"/>
        <v/>
      </c>
      <c r="B12" s="3"/>
      <c r="C12" s="3"/>
      <c r="D12" s="4"/>
      <c r="E12" s="5"/>
      <c r="F12" s="6"/>
      <c r="G12" s="7"/>
      <c r="H12" s="7"/>
      <c r="I12" s="6"/>
      <c r="J12" s="7"/>
      <c r="K12" s="7"/>
      <c r="L12" s="8"/>
    </row>
    <row r="13" spans="1:12" x14ac:dyDescent="0.2">
      <c r="A13" s="2" t="str">
        <f t="shared" si="0"/>
        <v/>
      </c>
      <c r="B13" s="3"/>
      <c r="C13" s="3"/>
      <c r="D13" s="4"/>
      <c r="E13" s="5"/>
      <c r="F13" s="6"/>
      <c r="G13" s="7"/>
      <c r="H13" s="7"/>
      <c r="I13" s="6"/>
      <c r="J13" s="7"/>
      <c r="K13" s="7"/>
      <c r="L13" s="8"/>
    </row>
    <row r="14" spans="1:12" x14ac:dyDescent="0.2">
      <c r="A14" s="2" t="str">
        <f t="shared" si="0"/>
        <v/>
      </c>
      <c r="B14" s="3"/>
      <c r="C14" s="3"/>
      <c r="D14" s="4"/>
      <c r="E14" s="5"/>
      <c r="F14" s="6"/>
      <c r="G14" s="7"/>
      <c r="H14" s="7"/>
      <c r="I14" s="6"/>
      <c r="J14" s="7"/>
      <c r="K14" s="7"/>
      <c r="L14" s="8"/>
    </row>
    <row r="15" spans="1:12" x14ac:dyDescent="0.2">
      <c r="A15" s="2" t="str">
        <f t="shared" si="0"/>
        <v/>
      </c>
      <c r="B15" s="3"/>
      <c r="C15" s="3"/>
      <c r="D15" s="4"/>
      <c r="E15" s="5"/>
      <c r="F15" s="6"/>
      <c r="G15" s="7"/>
      <c r="H15" s="7"/>
      <c r="I15" s="6"/>
      <c r="J15" s="7"/>
      <c r="K15" s="7"/>
      <c r="L15" s="8"/>
    </row>
    <row r="16" spans="1:12" x14ac:dyDescent="0.2">
      <c r="A16" s="2" t="str">
        <f t="shared" si="0"/>
        <v/>
      </c>
      <c r="B16" s="3"/>
      <c r="C16" s="3"/>
      <c r="D16" s="4"/>
      <c r="E16" s="5"/>
      <c r="F16" s="6"/>
      <c r="G16" s="7"/>
      <c r="H16" s="7"/>
      <c r="I16" s="6"/>
      <c r="J16" s="7"/>
      <c r="K16" s="7"/>
      <c r="L16" s="8"/>
    </row>
    <row r="17" spans="1:12" x14ac:dyDescent="0.2">
      <c r="A17" s="2" t="str">
        <f t="shared" si="0"/>
        <v/>
      </c>
      <c r="B17" s="3"/>
      <c r="C17" s="3"/>
      <c r="D17" s="4"/>
      <c r="E17" s="5"/>
      <c r="F17" s="6"/>
      <c r="G17" s="7"/>
      <c r="H17" s="7"/>
      <c r="I17" s="6"/>
      <c r="J17" s="7"/>
      <c r="K17" s="7"/>
      <c r="L17" s="8"/>
    </row>
    <row r="18" spans="1:12" x14ac:dyDescent="0.2">
      <c r="A18" s="2" t="str">
        <f t="shared" si="0"/>
        <v/>
      </c>
      <c r="B18" s="3"/>
      <c r="C18" s="3"/>
      <c r="D18" s="4"/>
      <c r="E18" s="5"/>
      <c r="F18" s="6"/>
      <c r="G18" s="7"/>
      <c r="H18" s="7"/>
      <c r="I18" s="6"/>
      <c r="J18" s="7"/>
      <c r="K18" s="7"/>
      <c r="L18" s="8"/>
    </row>
    <row r="19" spans="1:12" x14ac:dyDescent="0.2">
      <c r="A19" s="2" t="str">
        <f t="shared" si="0"/>
        <v/>
      </c>
      <c r="B19" s="3"/>
      <c r="C19" s="3"/>
      <c r="D19" s="4"/>
      <c r="E19" s="5"/>
      <c r="F19" s="6"/>
      <c r="G19" s="7"/>
      <c r="H19" s="7"/>
      <c r="I19" s="6"/>
      <c r="J19" s="7"/>
      <c r="K19" s="7"/>
      <c r="L19" s="8"/>
    </row>
    <row r="20" spans="1:12" x14ac:dyDescent="0.2">
      <c r="A20" s="2" t="str">
        <f t="shared" si="0"/>
        <v/>
      </c>
      <c r="B20" s="3"/>
      <c r="C20" s="3"/>
      <c r="D20" s="4"/>
      <c r="E20" s="5"/>
      <c r="F20" s="6"/>
      <c r="G20" s="7"/>
      <c r="H20" s="7"/>
      <c r="I20" s="6"/>
      <c r="J20" s="7"/>
      <c r="K20" s="7"/>
      <c r="L20" s="8"/>
    </row>
    <row r="21" spans="1:12" x14ac:dyDescent="0.2">
      <c r="A21" s="2" t="str">
        <f t="shared" si="0"/>
        <v/>
      </c>
      <c r="B21" s="3"/>
      <c r="C21" s="3"/>
      <c r="D21" s="4"/>
      <c r="E21" s="5"/>
      <c r="F21" s="6"/>
      <c r="G21" s="7"/>
      <c r="H21" s="7"/>
      <c r="I21" s="6"/>
      <c r="J21" s="7"/>
      <c r="K21" s="7"/>
      <c r="L21" s="8"/>
    </row>
    <row r="22" spans="1:12" x14ac:dyDescent="0.2">
      <c r="A22" s="2" t="str">
        <f t="shared" si="0"/>
        <v/>
      </c>
      <c r="B22" s="3"/>
      <c r="C22" s="3"/>
      <c r="D22" s="4"/>
      <c r="E22" s="5"/>
      <c r="F22" s="6"/>
      <c r="G22" s="7"/>
      <c r="H22" s="7"/>
      <c r="I22" s="6"/>
      <c r="J22" s="7"/>
      <c r="K22" s="7"/>
      <c r="L22" s="8"/>
    </row>
    <row r="23" spans="1:12" x14ac:dyDescent="0.2">
      <c r="A23" s="2" t="str">
        <f t="shared" si="0"/>
        <v/>
      </c>
      <c r="B23" s="3"/>
      <c r="C23" s="3"/>
      <c r="D23" s="4"/>
      <c r="E23" s="5"/>
      <c r="F23" s="6"/>
      <c r="G23" s="7"/>
      <c r="H23" s="7"/>
      <c r="I23" s="6"/>
      <c r="J23" s="7"/>
      <c r="K23" s="7"/>
      <c r="L23" s="8"/>
    </row>
    <row r="24" spans="1:12" x14ac:dyDescent="0.2">
      <c r="A24" s="2" t="str">
        <f t="shared" si="0"/>
        <v/>
      </c>
      <c r="B24" s="3"/>
      <c r="C24" s="3"/>
      <c r="D24" s="4"/>
      <c r="E24" s="5"/>
      <c r="F24" s="6"/>
      <c r="G24" s="7"/>
      <c r="H24" s="7"/>
      <c r="I24" s="6"/>
      <c r="J24" s="7"/>
      <c r="K24" s="7"/>
      <c r="L24" s="8"/>
    </row>
    <row r="25" spans="1:12" x14ac:dyDescent="0.2">
      <c r="A25" s="2" t="str">
        <f t="shared" si="0"/>
        <v/>
      </c>
      <c r="B25" s="3"/>
      <c r="C25" s="3"/>
      <c r="D25" s="4"/>
      <c r="E25" s="5"/>
      <c r="F25" s="6"/>
      <c r="G25" s="7"/>
      <c r="H25" s="7"/>
      <c r="I25" s="6"/>
      <c r="J25" s="7"/>
      <c r="K25" s="7"/>
      <c r="L25" s="8"/>
    </row>
    <row r="26" spans="1:12" x14ac:dyDescent="0.2">
      <c r="A26" s="2" t="str">
        <f t="shared" si="0"/>
        <v/>
      </c>
      <c r="B26" s="3"/>
      <c r="C26" s="3"/>
      <c r="D26" s="4"/>
      <c r="E26" s="5"/>
      <c r="F26" s="6"/>
      <c r="G26" s="7"/>
      <c r="H26" s="7"/>
      <c r="I26" s="6"/>
      <c r="J26" s="7"/>
      <c r="K26" s="7"/>
      <c r="L26" s="8"/>
    </row>
    <row r="27" spans="1:12" x14ac:dyDescent="0.2">
      <c r="A27" s="2" t="str">
        <f t="shared" si="0"/>
        <v/>
      </c>
      <c r="B27" s="3"/>
      <c r="C27" s="3"/>
      <c r="D27" s="4"/>
      <c r="E27" s="5"/>
      <c r="F27" s="6"/>
      <c r="G27" s="7"/>
      <c r="H27" s="7"/>
      <c r="I27" s="6"/>
      <c r="J27" s="7"/>
      <c r="K27" s="7"/>
      <c r="L27" s="8"/>
    </row>
    <row r="28" spans="1:12" x14ac:dyDescent="0.2">
      <c r="A28" s="2" t="str">
        <f t="shared" si="0"/>
        <v/>
      </c>
      <c r="B28" s="3"/>
      <c r="C28" s="3"/>
      <c r="D28" s="4"/>
      <c r="E28" s="5"/>
      <c r="F28" s="6"/>
      <c r="G28" s="7"/>
      <c r="H28" s="7"/>
      <c r="I28" s="6"/>
      <c r="J28" s="7"/>
      <c r="K28" s="7"/>
      <c r="L28" s="8"/>
    </row>
    <row r="29" spans="1:12" x14ac:dyDescent="0.2">
      <c r="A29" s="2" t="str">
        <f t="shared" si="0"/>
        <v/>
      </c>
      <c r="B29" s="3"/>
      <c r="C29" s="3"/>
      <c r="D29" s="4"/>
      <c r="E29" s="5"/>
      <c r="F29" s="6"/>
      <c r="G29" s="7"/>
      <c r="H29" s="7"/>
      <c r="I29" s="6"/>
      <c r="J29" s="7"/>
      <c r="K29" s="7"/>
      <c r="L29" s="8"/>
    </row>
    <row r="30" spans="1:12" x14ac:dyDescent="0.2">
      <c r="A30" s="2" t="str">
        <f t="shared" si="0"/>
        <v/>
      </c>
      <c r="B30" s="3"/>
      <c r="C30" s="3"/>
      <c r="D30" s="4"/>
      <c r="E30" s="5"/>
      <c r="F30" s="6"/>
      <c r="G30" s="7"/>
      <c r="H30" s="7"/>
      <c r="I30" s="6"/>
      <c r="J30" s="7"/>
      <c r="K30" s="7"/>
      <c r="L30" s="8"/>
    </row>
    <row r="31" spans="1:12" x14ac:dyDescent="0.2">
      <c r="A31" s="2" t="str">
        <f t="shared" si="0"/>
        <v/>
      </c>
      <c r="B31" s="3"/>
      <c r="C31" s="3"/>
      <c r="D31" s="4"/>
      <c r="E31" s="5"/>
      <c r="F31" s="6"/>
      <c r="G31" s="7"/>
      <c r="H31" s="7"/>
      <c r="I31" s="6"/>
      <c r="J31" s="7"/>
      <c r="K31" s="7"/>
      <c r="L31" s="8"/>
    </row>
    <row r="32" spans="1:12" x14ac:dyDescent="0.2">
      <c r="A32" s="2" t="str">
        <f t="shared" si="0"/>
        <v/>
      </c>
      <c r="B32" s="3"/>
      <c r="C32" s="3"/>
      <c r="D32" s="4"/>
      <c r="E32" s="5"/>
      <c r="F32" s="6"/>
      <c r="G32" s="7"/>
      <c r="H32" s="7"/>
      <c r="I32" s="6"/>
      <c r="J32" s="7"/>
      <c r="K32" s="7"/>
      <c r="L32" s="8"/>
    </row>
    <row r="33" spans="1:12" x14ac:dyDescent="0.2">
      <c r="A33" s="2" t="str">
        <f t="shared" si="0"/>
        <v/>
      </c>
      <c r="B33" s="3"/>
      <c r="C33" s="3"/>
      <c r="D33" s="4"/>
      <c r="E33" s="5"/>
      <c r="F33" s="6"/>
      <c r="G33" s="7"/>
      <c r="H33" s="7"/>
      <c r="I33" s="6"/>
      <c r="J33" s="7"/>
      <c r="K33" s="7"/>
      <c r="L33" s="8"/>
    </row>
    <row r="34" spans="1:12" x14ac:dyDescent="0.2">
      <c r="A34" s="2" t="str">
        <f t="shared" si="0"/>
        <v/>
      </c>
      <c r="B34" s="3"/>
      <c r="C34" s="3"/>
      <c r="D34" s="4"/>
      <c r="E34" s="5"/>
      <c r="F34" s="6"/>
      <c r="G34" s="7"/>
      <c r="H34" s="7"/>
      <c r="I34" s="6"/>
      <c r="J34" s="7"/>
      <c r="K34" s="7"/>
      <c r="L34" s="8"/>
    </row>
    <row r="35" spans="1:12" x14ac:dyDescent="0.2">
      <c r="A35" s="2" t="str">
        <f t="shared" si="0"/>
        <v/>
      </c>
      <c r="B35" s="3"/>
      <c r="C35" s="3"/>
      <c r="D35" s="4"/>
      <c r="E35" s="5"/>
      <c r="F35" s="6"/>
      <c r="G35" s="7"/>
      <c r="H35" s="7"/>
      <c r="I35" s="6"/>
      <c r="J35" s="7"/>
      <c r="K35" s="7"/>
      <c r="L35" s="8"/>
    </row>
    <row r="36" spans="1:12" x14ac:dyDescent="0.2">
      <c r="A36" s="2" t="str">
        <f t="shared" si="0"/>
        <v/>
      </c>
      <c r="B36" s="3"/>
      <c r="C36" s="3"/>
      <c r="D36" s="4"/>
      <c r="E36" s="5"/>
      <c r="F36" s="6"/>
      <c r="G36" s="7"/>
      <c r="H36" s="7"/>
      <c r="I36" s="6"/>
      <c r="J36" s="7"/>
      <c r="K36" s="7"/>
      <c r="L36" s="8"/>
    </row>
    <row r="37" spans="1:12" x14ac:dyDescent="0.2">
      <c r="A37" s="2" t="str">
        <f t="shared" ref="A37:A68" si="1">IF(D37="","",ROW()-4)</f>
        <v/>
      </c>
      <c r="B37" s="3"/>
      <c r="C37" s="3"/>
      <c r="D37" s="4"/>
      <c r="E37" s="5"/>
      <c r="F37" s="6"/>
      <c r="G37" s="7"/>
      <c r="H37" s="7"/>
      <c r="I37" s="6"/>
      <c r="J37" s="7"/>
      <c r="K37" s="7"/>
      <c r="L37" s="8"/>
    </row>
    <row r="38" spans="1:12" x14ac:dyDescent="0.2">
      <c r="A38" s="2" t="str">
        <f t="shared" si="1"/>
        <v/>
      </c>
      <c r="B38" s="3"/>
      <c r="C38" s="3"/>
      <c r="D38" s="4"/>
      <c r="E38" s="5"/>
      <c r="F38" s="6"/>
      <c r="G38" s="7"/>
      <c r="H38" s="7"/>
      <c r="I38" s="6"/>
      <c r="J38" s="7"/>
      <c r="K38" s="7"/>
      <c r="L38" s="8"/>
    </row>
    <row r="39" spans="1:12" x14ac:dyDescent="0.2">
      <c r="A39" s="2" t="str">
        <f t="shared" si="1"/>
        <v/>
      </c>
      <c r="B39" s="3"/>
      <c r="C39" s="3"/>
      <c r="D39" s="4"/>
      <c r="E39" s="5"/>
      <c r="F39" s="6"/>
      <c r="G39" s="7"/>
      <c r="H39" s="7"/>
      <c r="I39" s="6"/>
      <c r="J39" s="7"/>
      <c r="K39" s="7"/>
      <c r="L39" s="8"/>
    </row>
    <row r="40" spans="1:12" x14ac:dyDescent="0.2">
      <c r="A40" s="2" t="str">
        <f t="shared" si="1"/>
        <v/>
      </c>
      <c r="B40" s="3"/>
      <c r="C40" s="3"/>
      <c r="D40" s="4"/>
      <c r="E40" s="5"/>
      <c r="F40" s="6"/>
      <c r="G40" s="7"/>
      <c r="H40" s="7"/>
      <c r="I40" s="6"/>
      <c r="J40" s="7"/>
      <c r="K40" s="7"/>
      <c r="L40" s="8"/>
    </row>
    <row r="41" spans="1:12" x14ac:dyDescent="0.2">
      <c r="A41" s="2" t="str">
        <f t="shared" si="1"/>
        <v/>
      </c>
      <c r="B41" s="3"/>
      <c r="C41" s="3"/>
      <c r="D41" s="4"/>
      <c r="E41" s="5"/>
      <c r="F41" s="6"/>
      <c r="G41" s="7"/>
      <c r="H41" s="7"/>
      <c r="I41" s="6"/>
      <c r="J41" s="7"/>
      <c r="K41" s="7"/>
      <c r="L41" s="8"/>
    </row>
    <row r="42" spans="1:12" x14ac:dyDescent="0.2">
      <c r="A42" s="2" t="str">
        <f t="shared" si="1"/>
        <v/>
      </c>
      <c r="B42" s="3"/>
      <c r="C42" s="3"/>
      <c r="D42" s="4"/>
      <c r="E42" s="5"/>
      <c r="F42" s="6"/>
      <c r="G42" s="7"/>
      <c r="H42" s="7"/>
      <c r="I42" s="6"/>
      <c r="J42" s="7"/>
      <c r="K42" s="7"/>
      <c r="L42" s="8"/>
    </row>
    <row r="43" spans="1:12" x14ac:dyDescent="0.2">
      <c r="A43" s="2" t="str">
        <f t="shared" si="1"/>
        <v/>
      </c>
      <c r="B43" s="3"/>
      <c r="C43" s="3"/>
      <c r="D43" s="4"/>
      <c r="E43" s="5"/>
      <c r="F43" s="6"/>
      <c r="G43" s="7"/>
      <c r="H43" s="7"/>
      <c r="I43" s="6"/>
      <c r="J43" s="7"/>
      <c r="K43" s="7"/>
      <c r="L43" s="8"/>
    </row>
    <row r="44" spans="1:12" x14ac:dyDescent="0.2">
      <c r="A44" s="2" t="str">
        <f t="shared" si="1"/>
        <v/>
      </c>
      <c r="B44" s="3"/>
      <c r="C44" s="3"/>
      <c r="D44" s="4"/>
      <c r="E44" s="5"/>
      <c r="F44" s="6"/>
      <c r="G44" s="7"/>
      <c r="H44" s="7"/>
      <c r="I44" s="6"/>
      <c r="J44" s="7"/>
      <c r="K44" s="7"/>
      <c r="L44" s="8"/>
    </row>
    <row r="45" spans="1:12" x14ac:dyDescent="0.2">
      <c r="A45" s="2" t="str">
        <f t="shared" si="1"/>
        <v/>
      </c>
      <c r="B45" s="3"/>
      <c r="C45" s="3"/>
      <c r="D45" s="4"/>
      <c r="E45" s="5"/>
      <c r="F45" s="6"/>
      <c r="G45" s="7"/>
      <c r="H45" s="7"/>
      <c r="I45" s="6"/>
      <c r="J45" s="7"/>
      <c r="K45" s="7"/>
      <c r="L45" s="8"/>
    </row>
    <row r="46" spans="1:12" x14ac:dyDescent="0.2">
      <c r="A46" s="2" t="str">
        <f t="shared" si="1"/>
        <v/>
      </c>
      <c r="B46" s="3"/>
      <c r="C46" s="3"/>
      <c r="D46" s="4"/>
      <c r="E46" s="5"/>
      <c r="F46" s="6"/>
      <c r="G46" s="7"/>
      <c r="H46" s="7"/>
      <c r="I46" s="6"/>
      <c r="J46" s="7"/>
      <c r="K46" s="7"/>
      <c r="L46" s="8"/>
    </row>
    <row r="47" spans="1:12" x14ac:dyDescent="0.2">
      <c r="A47" s="2" t="str">
        <f t="shared" si="1"/>
        <v/>
      </c>
      <c r="B47" s="3"/>
      <c r="C47" s="3"/>
      <c r="D47" s="4"/>
      <c r="E47" s="5"/>
      <c r="F47" s="6"/>
      <c r="G47" s="7"/>
      <c r="H47" s="7"/>
      <c r="I47" s="6"/>
      <c r="J47" s="7"/>
      <c r="K47" s="7"/>
      <c r="L47" s="8"/>
    </row>
    <row r="48" spans="1:12" x14ac:dyDescent="0.2">
      <c r="A48" s="2" t="str">
        <f t="shared" si="1"/>
        <v/>
      </c>
      <c r="B48" s="3"/>
      <c r="C48" s="3"/>
      <c r="D48" s="4"/>
      <c r="E48" s="5"/>
      <c r="F48" s="6"/>
      <c r="G48" s="7"/>
      <c r="H48" s="7"/>
      <c r="I48" s="6"/>
      <c r="J48" s="7"/>
      <c r="K48" s="7"/>
      <c r="L48" s="8"/>
    </row>
    <row r="49" spans="1:12" x14ac:dyDescent="0.2">
      <c r="A49" s="2" t="str">
        <f t="shared" si="1"/>
        <v/>
      </c>
      <c r="B49" s="3"/>
      <c r="C49" s="3"/>
      <c r="D49" s="4"/>
      <c r="E49" s="5"/>
      <c r="F49" s="6"/>
      <c r="G49" s="7"/>
      <c r="H49" s="7"/>
      <c r="I49" s="6"/>
      <c r="J49" s="7"/>
      <c r="K49" s="7"/>
      <c r="L49" s="8"/>
    </row>
    <row r="50" spans="1:12" x14ac:dyDescent="0.2">
      <c r="A50" s="2" t="str">
        <f t="shared" si="1"/>
        <v/>
      </c>
      <c r="B50" s="3"/>
      <c r="C50" s="3"/>
      <c r="D50" s="4"/>
      <c r="E50" s="5"/>
      <c r="F50" s="6"/>
      <c r="G50" s="7"/>
      <c r="H50" s="7"/>
      <c r="I50" s="6"/>
      <c r="J50" s="7"/>
      <c r="K50" s="7"/>
      <c r="L50" s="8"/>
    </row>
    <row r="51" spans="1:12" x14ac:dyDescent="0.2">
      <c r="A51" s="2" t="str">
        <f t="shared" si="1"/>
        <v/>
      </c>
      <c r="B51" s="3"/>
      <c r="C51" s="3"/>
      <c r="D51" s="4"/>
      <c r="E51" s="5"/>
      <c r="F51" s="6"/>
      <c r="G51" s="7"/>
      <c r="H51" s="7"/>
      <c r="I51" s="6"/>
      <c r="J51" s="7"/>
      <c r="K51" s="7"/>
      <c r="L51" s="8"/>
    </row>
    <row r="52" spans="1:12" x14ac:dyDescent="0.2">
      <c r="A52" s="2" t="str">
        <f t="shared" si="1"/>
        <v/>
      </c>
      <c r="B52" s="3"/>
      <c r="C52" s="3"/>
      <c r="D52" s="4"/>
      <c r="E52" s="5"/>
      <c r="F52" s="6"/>
      <c r="G52" s="7"/>
      <c r="H52" s="7"/>
      <c r="I52" s="6"/>
      <c r="J52" s="7"/>
      <c r="K52" s="7"/>
      <c r="L52" s="8"/>
    </row>
    <row r="53" spans="1:12" x14ac:dyDescent="0.2">
      <c r="A53" s="2" t="str">
        <f t="shared" si="1"/>
        <v/>
      </c>
      <c r="B53" s="3"/>
      <c r="C53" s="3"/>
      <c r="D53" s="4"/>
      <c r="E53" s="5"/>
      <c r="F53" s="6"/>
      <c r="G53" s="7"/>
      <c r="H53" s="7"/>
      <c r="I53" s="6"/>
      <c r="J53" s="7"/>
      <c r="K53" s="7"/>
      <c r="L53" s="8"/>
    </row>
    <row r="54" spans="1:12" x14ac:dyDescent="0.2">
      <c r="A54" s="2" t="str">
        <f t="shared" si="1"/>
        <v/>
      </c>
      <c r="B54" s="3"/>
      <c r="C54" s="3"/>
      <c r="D54" s="4"/>
      <c r="E54" s="5"/>
      <c r="F54" s="6"/>
      <c r="G54" s="7"/>
      <c r="H54" s="7"/>
      <c r="I54" s="6"/>
      <c r="J54" s="7"/>
      <c r="K54" s="7"/>
      <c r="L54" s="8"/>
    </row>
    <row r="55" spans="1:12" x14ac:dyDescent="0.2">
      <c r="A55" s="2" t="str">
        <f t="shared" si="1"/>
        <v/>
      </c>
      <c r="B55" s="3"/>
      <c r="C55" s="3"/>
      <c r="D55" s="4"/>
      <c r="E55" s="5"/>
      <c r="F55" s="6"/>
      <c r="G55" s="7"/>
      <c r="H55" s="7"/>
      <c r="I55" s="6"/>
      <c r="J55" s="7"/>
      <c r="K55" s="7"/>
      <c r="L55" s="8"/>
    </row>
    <row r="56" spans="1:12" x14ac:dyDescent="0.2">
      <c r="A56" s="2" t="str">
        <f t="shared" si="1"/>
        <v/>
      </c>
      <c r="B56" s="3"/>
      <c r="C56" s="3"/>
      <c r="D56" s="4"/>
      <c r="E56" s="5"/>
      <c r="F56" s="6"/>
      <c r="G56" s="7"/>
      <c r="H56" s="7"/>
      <c r="I56" s="6"/>
      <c r="J56" s="7"/>
      <c r="K56" s="7"/>
      <c r="L56" s="8"/>
    </row>
    <row r="57" spans="1:12" x14ac:dyDescent="0.2">
      <c r="A57" s="2" t="str">
        <f t="shared" si="1"/>
        <v/>
      </c>
      <c r="B57" s="3"/>
      <c r="C57" s="3"/>
      <c r="D57" s="4"/>
      <c r="E57" s="5"/>
      <c r="F57" s="6"/>
      <c r="G57" s="7"/>
      <c r="H57" s="7"/>
      <c r="I57" s="6"/>
      <c r="J57" s="7"/>
      <c r="K57" s="7"/>
      <c r="L57" s="8"/>
    </row>
    <row r="58" spans="1:12" x14ac:dyDescent="0.2">
      <c r="A58" s="2" t="str">
        <f t="shared" si="1"/>
        <v/>
      </c>
      <c r="B58" s="3"/>
      <c r="C58" s="3"/>
      <c r="D58" s="4"/>
      <c r="E58" s="5"/>
      <c r="F58" s="6"/>
      <c r="G58" s="7"/>
      <c r="H58" s="7"/>
      <c r="I58" s="6"/>
      <c r="J58" s="7"/>
      <c r="K58" s="7"/>
      <c r="L58" s="8"/>
    </row>
    <row r="59" spans="1:12" x14ac:dyDescent="0.2">
      <c r="A59" s="2" t="str">
        <f t="shared" si="1"/>
        <v/>
      </c>
      <c r="B59" s="3"/>
      <c r="C59" s="3"/>
      <c r="D59" s="4"/>
      <c r="E59" s="5"/>
      <c r="F59" s="6"/>
      <c r="G59" s="7"/>
      <c r="H59" s="7"/>
      <c r="I59" s="6"/>
      <c r="J59" s="7"/>
      <c r="K59" s="7"/>
      <c r="L59" s="8"/>
    </row>
    <row r="60" spans="1:12" x14ac:dyDescent="0.2">
      <c r="A60" s="2" t="str">
        <f t="shared" si="1"/>
        <v/>
      </c>
      <c r="B60" s="3"/>
      <c r="C60" s="3"/>
      <c r="D60" s="4"/>
      <c r="E60" s="5"/>
      <c r="F60" s="6"/>
      <c r="G60" s="7"/>
      <c r="H60" s="7"/>
      <c r="I60" s="6"/>
      <c r="J60" s="7"/>
      <c r="K60" s="7"/>
      <c r="L60" s="8"/>
    </row>
    <row r="61" spans="1:12" x14ac:dyDescent="0.2">
      <c r="A61" s="2" t="str">
        <f t="shared" si="1"/>
        <v/>
      </c>
      <c r="B61" s="3"/>
      <c r="C61" s="3"/>
      <c r="D61" s="4"/>
      <c r="E61" s="5"/>
      <c r="F61" s="6"/>
      <c r="G61" s="7"/>
      <c r="H61" s="7"/>
      <c r="I61" s="6"/>
      <c r="J61" s="7"/>
      <c r="K61" s="7"/>
      <c r="L61" s="8"/>
    </row>
    <row r="62" spans="1:12" x14ac:dyDescent="0.2">
      <c r="A62" s="2" t="str">
        <f t="shared" si="1"/>
        <v/>
      </c>
      <c r="B62" s="3"/>
      <c r="C62" s="3"/>
      <c r="D62" s="4"/>
      <c r="E62" s="5"/>
      <c r="F62" s="6"/>
      <c r="G62" s="7"/>
      <c r="H62" s="7"/>
      <c r="I62" s="6"/>
      <c r="J62" s="7"/>
      <c r="K62" s="7"/>
      <c r="L62" s="8"/>
    </row>
    <row r="63" spans="1:12" x14ac:dyDescent="0.2">
      <c r="A63" s="2" t="str">
        <f t="shared" si="1"/>
        <v/>
      </c>
      <c r="B63" s="3"/>
      <c r="C63" s="3"/>
      <c r="D63" s="4"/>
      <c r="E63" s="5"/>
      <c r="F63" s="6"/>
      <c r="G63" s="7"/>
      <c r="H63" s="7"/>
      <c r="I63" s="6"/>
      <c r="J63" s="7"/>
      <c r="K63" s="7"/>
      <c r="L63" s="8"/>
    </row>
    <row r="64" spans="1:12" x14ac:dyDescent="0.2">
      <c r="A64" s="2" t="str">
        <f t="shared" si="1"/>
        <v/>
      </c>
      <c r="B64" s="3"/>
      <c r="C64" s="3"/>
      <c r="D64" s="4"/>
      <c r="E64" s="5"/>
      <c r="F64" s="6"/>
      <c r="G64" s="7"/>
      <c r="H64" s="7"/>
      <c r="I64" s="6"/>
      <c r="J64" s="7"/>
      <c r="K64" s="7"/>
      <c r="L64" s="8"/>
    </row>
    <row r="65" spans="1:12" x14ac:dyDescent="0.2">
      <c r="A65" s="2" t="str">
        <f t="shared" si="1"/>
        <v/>
      </c>
      <c r="B65" s="3"/>
      <c r="C65" s="3"/>
      <c r="D65" s="4"/>
      <c r="E65" s="5"/>
      <c r="F65" s="6"/>
      <c r="G65" s="7"/>
      <c r="H65" s="7"/>
      <c r="I65" s="6"/>
      <c r="J65" s="7"/>
      <c r="K65" s="7"/>
      <c r="L65" s="8"/>
    </row>
    <row r="66" spans="1:12" x14ac:dyDescent="0.2">
      <c r="A66" s="2" t="str">
        <f t="shared" si="1"/>
        <v/>
      </c>
      <c r="B66" s="3"/>
      <c r="C66" s="3"/>
      <c r="D66" s="4"/>
      <c r="E66" s="5"/>
      <c r="F66" s="6"/>
      <c r="G66" s="7"/>
      <c r="H66" s="7"/>
      <c r="I66" s="6"/>
      <c r="J66" s="7"/>
      <c r="K66" s="7"/>
      <c r="L66" s="8"/>
    </row>
    <row r="67" spans="1:12" x14ac:dyDescent="0.2">
      <c r="A67" s="2" t="str">
        <f t="shared" si="1"/>
        <v/>
      </c>
      <c r="B67" s="3"/>
      <c r="C67" s="3"/>
      <c r="D67" s="4"/>
      <c r="E67" s="5"/>
      <c r="F67" s="6"/>
      <c r="G67" s="7"/>
      <c r="H67" s="7"/>
      <c r="I67" s="6"/>
      <c r="J67" s="7"/>
      <c r="K67" s="7"/>
      <c r="L67" s="8"/>
    </row>
    <row r="68" spans="1:12" x14ac:dyDescent="0.2">
      <c r="A68" s="2" t="str">
        <f t="shared" si="1"/>
        <v/>
      </c>
      <c r="B68" s="3"/>
      <c r="C68" s="3"/>
      <c r="D68" s="4"/>
      <c r="E68" s="5"/>
      <c r="F68" s="6"/>
      <c r="G68" s="7"/>
      <c r="H68" s="7"/>
      <c r="I68" s="6"/>
      <c r="J68" s="7"/>
      <c r="K68" s="7"/>
      <c r="L68" s="8"/>
    </row>
    <row r="69" spans="1:12" x14ac:dyDescent="0.2">
      <c r="A69" s="2" t="str">
        <f t="shared" ref="A69:A104" si="2">IF(D69="","",ROW()-4)</f>
        <v/>
      </c>
      <c r="B69" s="3"/>
      <c r="C69" s="3"/>
      <c r="D69" s="4"/>
      <c r="E69" s="5"/>
      <c r="F69" s="6"/>
      <c r="G69" s="7"/>
      <c r="H69" s="7"/>
      <c r="I69" s="6"/>
      <c r="J69" s="7"/>
      <c r="K69" s="7"/>
      <c r="L69" s="8"/>
    </row>
    <row r="70" spans="1:12" x14ac:dyDescent="0.2">
      <c r="A70" s="2" t="str">
        <f t="shared" si="2"/>
        <v/>
      </c>
      <c r="B70" s="3"/>
      <c r="C70" s="3"/>
      <c r="D70" s="4"/>
      <c r="E70" s="5"/>
      <c r="F70" s="6"/>
      <c r="G70" s="7"/>
      <c r="H70" s="7"/>
      <c r="I70" s="6"/>
      <c r="J70" s="7"/>
      <c r="K70" s="7"/>
      <c r="L70" s="8"/>
    </row>
    <row r="71" spans="1:12" x14ac:dyDescent="0.2">
      <c r="A71" s="2" t="str">
        <f t="shared" si="2"/>
        <v/>
      </c>
      <c r="B71" s="3"/>
      <c r="C71" s="3"/>
      <c r="D71" s="4"/>
      <c r="E71" s="5"/>
      <c r="F71" s="6"/>
      <c r="G71" s="7"/>
      <c r="H71" s="7"/>
      <c r="I71" s="6"/>
      <c r="J71" s="7"/>
      <c r="K71" s="7"/>
      <c r="L71" s="8"/>
    </row>
    <row r="72" spans="1:12" x14ac:dyDescent="0.2">
      <c r="A72" s="2" t="str">
        <f t="shared" si="2"/>
        <v/>
      </c>
      <c r="B72" s="3"/>
      <c r="C72" s="3"/>
      <c r="D72" s="4"/>
      <c r="E72" s="5"/>
      <c r="F72" s="6"/>
      <c r="G72" s="7"/>
      <c r="H72" s="7"/>
      <c r="I72" s="6"/>
      <c r="J72" s="7"/>
      <c r="K72" s="7"/>
      <c r="L72" s="8"/>
    </row>
    <row r="73" spans="1:12" x14ac:dyDescent="0.2">
      <c r="A73" s="2" t="str">
        <f t="shared" si="2"/>
        <v/>
      </c>
      <c r="B73" s="3"/>
      <c r="C73" s="3"/>
      <c r="D73" s="4"/>
      <c r="E73" s="5"/>
      <c r="F73" s="6"/>
      <c r="G73" s="7"/>
      <c r="H73" s="7"/>
      <c r="I73" s="6"/>
      <c r="J73" s="7"/>
      <c r="K73" s="7"/>
      <c r="L73" s="8"/>
    </row>
    <row r="74" spans="1:12" x14ac:dyDescent="0.2">
      <c r="A74" s="2" t="str">
        <f t="shared" si="2"/>
        <v/>
      </c>
      <c r="B74" s="3"/>
      <c r="C74" s="3"/>
      <c r="D74" s="4"/>
      <c r="E74" s="5"/>
      <c r="F74" s="6"/>
      <c r="G74" s="7"/>
      <c r="H74" s="7"/>
      <c r="I74" s="6"/>
      <c r="J74" s="7"/>
      <c r="K74" s="7"/>
      <c r="L74" s="8"/>
    </row>
    <row r="75" spans="1:12" x14ac:dyDescent="0.2">
      <c r="A75" s="2" t="str">
        <f t="shared" si="2"/>
        <v/>
      </c>
      <c r="B75" s="3"/>
      <c r="C75" s="3"/>
      <c r="D75" s="4"/>
      <c r="E75" s="5"/>
      <c r="F75" s="6"/>
      <c r="G75" s="7"/>
      <c r="H75" s="7"/>
      <c r="I75" s="6"/>
      <c r="J75" s="7"/>
      <c r="K75" s="7"/>
      <c r="L75" s="8"/>
    </row>
    <row r="76" spans="1:12" x14ac:dyDescent="0.2">
      <c r="A76" s="2" t="str">
        <f t="shared" si="2"/>
        <v/>
      </c>
      <c r="B76" s="3"/>
      <c r="C76" s="3"/>
      <c r="D76" s="4"/>
      <c r="E76" s="5"/>
      <c r="F76" s="6"/>
      <c r="G76" s="7"/>
      <c r="H76" s="7"/>
      <c r="I76" s="6"/>
      <c r="J76" s="7"/>
      <c r="K76" s="7"/>
      <c r="L76" s="8"/>
    </row>
    <row r="77" spans="1:12" x14ac:dyDescent="0.2">
      <c r="A77" s="2" t="str">
        <f t="shared" si="2"/>
        <v/>
      </c>
      <c r="B77" s="3"/>
      <c r="C77" s="3"/>
      <c r="D77" s="4"/>
      <c r="E77" s="5"/>
      <c r="F77" s="6"/>
      <c r="G77" s="7"/>
      <c r="H77" s="7"/>
      <c r="I77" s="6"/>
      <c r="J77" s="7"/>
      <c r="K77" s="7"/>
      <c r="L77" s="8"/>
    </row>
    <row r="78" spans="1:12" x14ac:dyDescent="0.2">
      <c r="A78" s="2" t="str">
        <f t="shared" si="2"/>
        <v/>
      </c>
      <c r="B78" s="3"/>
      <c r="C78" s="3"/>
      <c r="D78" s="4"/>
      <c r="E78" s="5"/>
      <c r="F78" s="6"/>
      <c r="G78" s="7"/>
      <c r="H78" s="7"/>
      <c r="I78" s="6"/>
      <c r="J78" s="7"/>
      <c r="K78" s="7"/>
      <c r="L78" s="8"/>
    </row>
    <row r="79" spans="1:12" x14ac:dyDescent="0.2">
      <c r="A79" s="2" t="str">
        <f t="shared" si="2"/>
        <v/>
      </c>
      <c r="B79" s="3"/>
      <c r="C79" s="3"/>
      <c r="D79" s="4"/>
      <c r="E79" s="5"/>
      <c r="F79" s="6"/>
      <c r="G79" s="7"/>
      <c r="H79" s="7"/>
      <c r="I79" s="6"/>
      <c r="J79" s="7"/>
      <c r="K79" s="7"/>
      <c r="L79" s="8"/>
    </row>
    <row r="80" spans="1:12" x14ac:dyDescent="0.2">
      <c r="A80" s="2" t="str">
        <f t="shared" si="2"/>
        <v/>
      </c>
      <c r="B80" s="3"/>
      <c r="C80" s="3"/>
      <c r="D80" s="4"/>
      <c r="E80" s="5"/>
      <c r="F80" s="6"/>
      <c r="G80" s="7"/>
      <c r="H80" s="7"/>
      <c r="I80" s="6"/>
      <c r="J80" s="7"/>
      <c r="K80" s="7"/>
      <c r="L80" s="8"/>
    </row>
    <row r="81" spans="1:12" x14ac:dyDescent="0.2">
      <c r="A81" s="2" t="str">
        <f t="shared" si="2"/>
        <v/>
      </c>
      <c r="B81" s="3"/>
      <c r="C81" s="3"/>
      <c r="D81" s="4"/>
      <c r="E81" s="5"/>
      <c r="F81" s="6"/>
      <c r="G81" s="7"/>
      <c r="H81" s="7"/>
      <c r="I81" s="6"/>
      <c r="J81" s="7"/>
      <c r="K81" s="7"/>
      <c r="L81" s="8"/>
    </row>
    <row r="82" spans="1:12" x14ac:dyDescent="0.2">
      <c r="A82" s="2" t="str">
        <f t="shared" si="2"/>
        <v/>
      </c>
      <c r="B82" s="3"/>
      <c r="C82" s="3"/>
      <c r="D82" s="4"/>
      <c r="E82" s="5"/>
      <c r="F82" s="6"/>
      <c r="G82" s="7"/>
      <c r="H82" s="7"/>
      <c r="I82" s="6"/>
      <c r="J82" s="7"/>
      <c r="K82" s="7"/>
      <c r="L82" s="8"/>
    </row>
    <row r="83" spans="1:12" x14ac:dyDescent="0.2">
      <c r="A83" s="2" t="str">
        <f t="shared" si="2"/>
        <v/>
      </c>
      <c r="B83" s="3"/>
      <c r="C83" s="3"/>
      <c r="D83" s="4"/>
      <c r="E83" s="5"/>
      <c r="F83" s="6"/>
      <c r="G83" s="7"/>
      <c r="H83" s="7"/>
      <c r="I83" s="6"/>
      <c r="J83" s="7"/>
      <c r="K83" s="7"/>
      <c r="L83" s="8"/>
    </row>
    <row r="84" spans="1:12" x14ac:dyDescent="0.2">
      <c r="A84" s="2" t="str">
        <f t="shared" si="2"/>
        <v/>
      </c>
      <c r="B84" s="3"/>
      <c r="C84" s="3"/>
      <c r="D84" s="4"/>
      <c r="E84" s="5"/>
      <c r="F84" s="6"/>
      <c r="G84" s="7"/>
      <c r="H84" s="7"/>
      <c r="I84" s="6"/>
      <c r="J84" s="7"/>
      <c r="K84" s="7"/>
      <c r="L84" s="8"/>
    </row>
    <row r="85" spans="1:12" x14ac:dyDescent="0.2">
      <c r="A85" s="2" t="str">
        <f t="shared" si="2"/>
        <v/>
      </c>
      <c r="B85" s="3"/>
      <c r="C85" s="3"/>
      <c r="D85" s="4"/>
      <c r="E85" s="5"/>
      <c r="F85" s="6"/>
      <c r="G85" s="7"/>
      <c r="H85" s="7"/>
      <c r="I85" s="6"/>
      <c r="J85" s="7"/>
      <c r="K85" s="7"/>
      <c r="L85" s="8"/>
    </row>
    <row r="86" spans="1:12" x14ac:dyDescent="0.2">
      <c r="A86" s="2" t="str">
        <f t="shared" si="2"/>
        <v/>
      </c>
      <c r="B86" s="3"/>
      <c r="C86" s="3"/>
      <c r="D86" s="4"/>
      <c r="E86" s="5"/>
      <c r="F86" s="6"/>
      <c r="G86" s="7"/>
      <c r="H86" s="7"/>
      <c r="I86" s="6"/>
      <c r="J86" s="7"/>
      <c r="K86" s="7"/>
      <c r="L86" s="8"/>
    </row>
    <row r="87" spans="1:12" x14ac:dyDescent="0.2">
      <c r="A87" s="2" t="str">
        <f t="shared" si="2"/>
        <v/>
      </c>
      <c r="B87" s="3"/>
      <c r="C87" s="3"/>
      <c r="D87" s="4"/>
      <c r="E87" s="5"/>
      <c r="F87" s="6"/>
      <c r="G87" s="7"/>
      <c r="H87" s="7"/>
      <c r="I87" s="6"/>
      <c r="J87" s="7"/>
      <c r="K87" s="7"/>
      <c r="L87" s="8"/>
    </row>
    <row r="88" spans="1:12" x14ac:dyDescent="0.2">
      <c r="A88" s="2" t="str">
        <f t="shared" si="2"/>
        <v/>
      </c>
      <c r="B88" s="3"/>
      <c r="C88" s="3"/>
      <c r="D88" s="4"/>
      <c r="E88" s="5"/>
      <c r="F88" s="6"/>
      <c r="G88" s="7"/>
      <c r="H88" s="7"/>
      <c r="I88" s="6"/>
      <c r="J88" s="7"/>
      <c r="K88" s="7"/>
      <c r="L88" s="8"/>
    </row>
    <row r="89" spans="1:12" x14ac:dyDescent="0.2">
      <c r="A89" s="2" t="str">
        <f t="shared" si="2"/>
        <v/>
      </c>
      <c r="B89" s="3"/>
      <c r="C89" s="3"/>
      <c r="D89" s="4"/>
      <c r="E89" s="5"/>
      <c r="F89" s="6"/>
      <c r="G89" s="7"/>
      <c r="H89" s="7"/>
      <c r="I89" s="6"/>
      <c r="J89" s="7"/>
      <c r="K89" s="7"/>
      <c r="L89" s="8"/>
    </row>
    <row r="90" spans="1:12" x14ac:dyDescent="0.2">
      <c r="A90" s="2" t="str">
        <f t="shared" si="2"/>
        <v/>
      </c>
      <c r="B90" s="3"/>
      <c r="C90" s="3"/>
      <c r="D90" s="4"/>
      <c r="E90" s="5"/>
      <c r="F90" s="6"/>
      <c r="G90" s="7"/>
      <c r="H90" s="7"/>
      <c r="I90" s="6"/>
      <c r="J90" s="7"/>
      <c r="K90" s="7"/>
      <c r="L90" s="8"/>
    </row>
    <row r="91" spans="1:12" x14ac:dyDescent="0.2">
      <c r="A91" s="2" t="str">
        <f t="shared" si="2"/>
        <v/>
      </c>
      <c r="B91" s="3"/>
      <c r="C91" s="3"/>
      <c r="D91" s="4"/>
      <c r="E91" s="5"/>
      <c r="F91" s="6"/>
      <c r="G91" s="7"/>
      <c r="H91" s="7"/>
      <c r="I91" s="6"/>
      <c r="J91" s="7"/>
      <c r="K91" s="7"/>
      <c r="L91" s="8"/>
    </row>
    <row r="92" spans="1:12" x14ac:dyDescent="0.2">
      <c r="A92" s="2" t="str">
        <f t="shared" si="2"/>
        <v/>
      </c>
      <c r="B92" s="3"/>
      <c r="C92" s="3"/>
      <c r="D92" s="4"/>
      <c r="E92" s="5"/>
      <c r="F92" s="6"/>
      <c r="G92" s="7"/>
      <c r="H92" s="7"/>
      <c r="I92" s="6"/>
      <c r="J92" s="7"/>
      <c r="K92" s="7"/>
      <c r="L92" s="8"/>
    </row>
    <row r="93" spans="1:12" x14ac:dyDescent="0.2">
      <c r="A93" s="2" t="str">
        <f t="shared" si="2"/>
        <v/>
      </c>
      <c r="B93" s="3"/>
      <c r="C93" s="3"/>
      <c r="D93" s="4"/>
      <c r="E93" s="5"/>
      <c r="F93" s="6"/>
      <c r="G93" s="7"/>
      <c r="H93" s="7"/>
      <c r="I93" s="6"/>
      <c r="J93" s="7"/>
      <c r="K93" s="7"/>
      <c r="L93" s="8"/>
    </row>
    <row r="94" spans="1:12" x14ac:dyDescent="0.2">
      <c r="A94" s="2" t="str">
        <f t="shared" si="2"/>
        <v/>
      </c>
      <c r="B94" s="3"/>
      <c r="C94" s="3"/>
      <c r="D94" s="4"/>
      <c r="E94" s="5"/>
      <c r="F94" s="6"/>
      <c r="G94" s="7"/>
      <c r="H94" s="7"/>
      <c r="I94" s="6"/>
      <c r="J94" s="7"/>
      <c r="K94" s="7"/>
      <c r="L94" s="8"/>
    </row>
    <row r="95" spans="1:12" x14ac:dyDescent="0.2">
      <c r="A95" s="2" t="str">
        <f t="shared" si="2"/>
        <v/>
      </c>
      <c r="B95" s="3"/>
      <c r="C95" s="3"/>
      <c r="D95" s="4"/>
      <c r="E95" s="5"/>
      <c r="F95" s="6"/>
      <c r="G95" s="7"/>
      <c r="H95" s="7"/>
      <c r="I95" s="6"/>
      <c r="J95" s="7"/>
      <c r="K95" s="7"/>
      <c r="L95" s="8"/>
    </row>
    <row r="96" spans="1:12" x14ac:dyDescent="0.2">
      <c r="A96" s="2" t="str">
        <f t="shared" si="2"/>
        <v/>
      </c>
      <c r="B96" s="3"/>
      <c r="C96" s="3"/>
      <c r="D96" s="4"/>
      <c r="E96" s="5"/>
      <c r="F96" s="6"/>
      <c r="G96" s="7"/>
      <c r="H96" s="7"/>
      <c r="I96" s="6"/>
      <c r="J96" s="7"/>
      <c r="K96" s="7"/>
      <c r="L96" s="8"/>
    </row>
    <row r="97" spans="1:12" x14ac:dyDescent="0.2">
      <c r="A97" s="2" t="str">
        <f t="shared" si="2"/>
        <v/>
      </c>
      <c r="B97" s="3"/>
      <c r="C97" s="3"/>
      <c r="D97" s="4"/>
      <c r="E97" s="5"/>
      <c r="F97" s="6"/>
      <c r="G97" s="7"/>
      <c r="H97" s="7"/>
      <c r="I97" s="6"/>
      <c r="J97" s="7"/>
      <c r="K97" s="7"/>
      <c r="L97" s="8"/>
    </row>
    <row r="98" spans="1:12" x14ac:dyDescent="0.2">
      <c r="A98" s="2" t="str">
        <f t="shared" si="2"/>
        <v/>
      </c>
      <c r="B98" s="3"/>
      <c r="C98" s="3"/>
      <c r="D98" s="4"/>
      <c r="E98" s="5"/>
      <c r="F98" s="6"/>
      <c r="G98" s="7"/>
      <c r="H98" s="7"/>
      <c r="I98" s="6"/>
      <c r="J98" s="7"/>
      <c r="K98" s="7"/>
      <c r="L98" s="8"/>
    </row>
    <row r="99" spans="1:12" x14ac:dyDescent="0.2">
      <c r="A99" s="2" t="str">
        <f t="shared" si="2"/>
        <v/>
      </c>
      <c r="B99" s="3"/>
      <c r="C99" s="3"/>
      <c r="D99" s="4"/>
      <c r="E99" s="5"/>
      <c r="F99" s="6"/>
      <c r="G99" s="7"/>
      <c r="H99" s="7"/>
      <c r="I99" s="6"/>
      <c r="J99" s="7"/>
      <c r="K99" s="7"/>
      <c r="L99" s="8"/>
    </row>
    <row r="100" spans="1:12" x14ac:dyDescent="0.2">
      <c r="A100" s="2" t="str">
        <f t="shared" si="2"/>
        <v/>
      </c>
      <c r="B100" s="3"/>
      <c r="C100" s="3"/>
      <c r="D100" s="4"/>
      <c r="E100" s="5"/>
      <c r="F100" s="6"/>
      <c r="G100" s="7"/>
      <c r="H100" s="7"/>
      <c r="I100" s="6"/>
      <c r="J100" s="7"/>
      <c r="K100" s="7"/>
      <c r="L100" s="8"/>
    </row>
    <row r="101" spans="1:12" x14ac:dyDescent="0.2">
      <c r="A101" s="2" t="str">
        <f t="shared" si="2"/>
        <v/>
      </c>
      <c r="B101" s="3"/>
      <c r="C101" s="3"/>
      <c r="D101" s="4"/>
      <c r="E101" s="5"/>
      <c r="F101" s="6"/>
      <c r="G101" s="7"/>
      <c r="H101" s="7"/>
      <c r="I101" s="6"/>
      <c r="J101" s="7"/>
      <c r="K101" s="7"/>
      <c r="L101" s="8"/>
    </row>
    <row r="102" spans="1:12" x14ac:dyDescent="0.2">
      <c r="A102" s="2" t="str">
        <f t="shared" si="2"/>
        <v/>
      </c>
      <c r="B102" s="3"/>
      <c r="C102" s="3"/>
      <c r="D102" s="4"/>
      <c r="E102" s="5"/>
      <c r="F102" s="6"/>
      <c r="G102" s="7"/>
      <c r="H102" s="7"/>
      <c r="I102" s="6"/>
      <c r="J102" s="7"/>
      <c r="K102" s="7"/>
      <c r="L102" s="8"/>
    </row>
    <row r="103" spans="1:12" x14ac:dyDescent="0.2">
      <c r="A103" s="2" t="str">
        <f t="shared" si="2"/>
        <v/>
      </c>
      <c r="B103" s="3"/>
      <c r="C103" s="3"/>
      <c r="D103" s="4"/>
      <c r="E103" s="5"/>
      <c r="F103" s="6"/>
      <c r="G103" s="7"/>
      <c r="H103" s="7"/>
      <c r="I103" s="6"/>
      <c r="J103" s="7"/>
      <c r="K103" s="7"/>
      <c r="L103" s="8"/>
    </row>
    <row r="104" spans="1:12" x14ac:dyDescent="0.2">
      <c r="A104" s="2" t="str">
        <f t="shared" si="2"/>
        <v/>
      </c>
      <c r="B104" s="3"/>
      <c r="C104" s="3"/>
      <c r="D104" s="4"/>
      <c r="E104" s="5"/>
      <c r="F104" s="6"/>
      <c r="G104" s="7"/>
      <c r="H104" s="7"/>
      <c r="I104" s="6"/>
      <c r="J104" s="7"/>
      <c r="K104" s="7"/>
      <c r="L104" s="8"/>
    </row>
  </sheetData>
  <mergeCells count="2">
    <mergeCell ref="A2:L2"/>
    <mergeCell ref="A1:L1"/>
  </mergeCells>
  <phoneticPr fontId="15" type="noConversion"/>
  <conditionalFormatting sqref="F5:F104">
    <cfRule type="cellIs" dxfId="0" priority="1" operator="greaterThan">
      <formula>0</formula>
    </cfRule>
  </conditionalFormatting>
  <dataValidations count="2">
    <dataValidation type="list" sqref="B5:B104" xr:uid="{00000000-0002-0000-0000-000000000000}">
      <formula1>"O,U"</formula1>
    </dataValidation>
    <dataValidation type="list" sqref="C5:C104" xr:uid="{00000000-0002-0000-0000-000001000000}">
      <formula1>"100,110,111"</formula1>
    </dataValidation>
  </dataValidations>
  <pageMargins left="0.3" right="0.3" top="0.5" bottom="0.5" header="0.5" footer="0.5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9"/>
  <sheetViews>
    <sheetView showGridLines="0" topLeftCell="A7" workbookViewId="0">
      <selection activeCell="F32" sqref="F32"/>
    </sheetView>
  </sheetViews>
  <sheetFormatPr baseColWidth="10" defaultColWidth="8.83203125" defaultRowHeight="15" x14ac:dyDescent="0.2"/>
  <cols>
    <col min="1" max="1" width="28" customWidth="1"/>
    <col min="2" max="3" width="18" customWidth="1"/>
    <col min="4" max="4" width="32" customWidth="1"/>
    <col min="5" max="5" width="36" customWidth="1"/>
    <col min="6" max="8" width="14" customWidth="1"/>
  </cols>
  <sheetData>
    <row r="1" spans="1:8" ht="32" customHeight="1" x14ac:dyDescent="0.3">
      <c r="A1" s="26" t="s">
        <v>0</v>
      </c>
      <c r="B1" s="25"/>
      <c r="C1" s="25"/>
      <c r="D1" s="25"/>
      <c r="E1" s="25"/>
      <c r="F1" s="25"/>
      <c r="G1" s="25"/>
      <c r="H1" s="25"/>
    </row>
    <row r="3" spans="1:8" x14ac:dyDescent="0.2">
      <c r="A3" s="9" t="s">
        <v>1</v>
      </c>
      <c r="D3" s="10" t="s">
        <v>2</v>
      </c>
    </row>
    <row r="4" spans="1:8" x14ac:dyDescent="0.2">
      <c r="A4" t="s">
        <v>3</v>
      </c>
      <c r="B4" s="11" t="s">
        <v>4</v>
      </c>
      <c r="D4" t="s">
        <v>5</v>
      </c>
      <c r="E4" s="12" t="str">
        <f>IFERROR(_xlfn.AGGREGATE(14,6,'Run Log'!$D$5:$D$104/(('Run Log'!$B$5:$B$104=$B$4)*('Run Log'!$C$5:$C$104=$B$5)*('Run Log'!$F$5:$F$104=0)),1),"")</f>
        <v/>
      </c>
    </row>
    <row r="5" spans="1:8" x14ac:dyDescent="0.2">
      <c r="A5" t="s">
        <v>6</v>
      </c>
      <c r="B5" s="11">
        <v>110</v>
      </c>
      <c r="D5" t="s">
        <v>7</v>
      </c>
      <c r="E5" s="12">
        <f>IFERROR(_xlfn.AGGREGATE(15,6,'Run Log'!$D$5:$D$104/(('Run Log'!$B$5:$B$104=$B$4)*('Run Log'!$C$5:$C$104=$B$5)*('Run Log'!$F$5:$F$104&gt;0)),1),"")</f>
        <v>100</v>
      </c>
    </row>
    <row r="6" spans="1:8" x14ac:dyDescent="0.2">
      <c r="D6" t="s">
        <v>8</v>
      </c>
      <c r="E6" s="12" t="str">
        <f>IF(OR(E4="",E5=""),"Add runs that bracket the transition",IF(E4&lt;E5,TEXT(E4,"0.0")&amp;" &lt; E_d &lt;= "&amp;TEXT(E5,"0.0")&amp;" eV","Run set does not cleanly bracket a threshold"))</f>
        <v>Add runs that bracket the transition</v>
      </c>
    </row>
    <row r="8" spans="1:8" x14ac:dyDescent="0.2">
      <c r="A8" s="13" t="s">
        <v>9</v>
      </c>
    </row>
    <row r="9" spans="1:8" x14ac:dyDescent="0.2">
      <c r="A9" s="14" t="s">
        <v>10</v>
      </c>
      <c r="B9" s="14" t="s">
        <v>11</v>
      </c>
      <c r="C9" s="14" t="s">
        <v>12</v>
      </c>
      <c r="D9" s="14" t="s">
        <v>13</v>
      </c>
    </row>
    <row r="10" spans="1:8" x14ac:dyDescent="0.2">
      <c r="A10" s="15">
        <f>IF(AND('Run Log'!B5=$B$4,'Run Log'!C5=$B$5,'Run Log'!D5&lt;&gt;""),'Run Log'!D5,NA())</f>
        <v>100</v>
      </c>
      <c r="B10" s="15">
        <f>IF(AND('Run Log'!B5=$B$4,'Run Log'!C5=$B$5,'Run Log'!D5&lt;&gt;""),'Run Log'!F5,NA())</f>
        <v>5</v>
      </c>
      <c r="C10" s="16">
        <f>IF(AND('Run Log'!B5=$B$4,'Run Log'!C5=$B$5,'Run Log'!D5&lt;&gt;""),'Run Log'!G5,NA())</f>
        <v>0.1095</v>
      </c>
      <c r="D10" s="16">
        <f>IF(AND('Run Log'!B5=$B$4,'Run Log'!C5=$B$5,'Run Log'!D5&lt;&gt;""),'Run Log'!H5,NA())</f>
        <v>4.7786999999999997</v>
      </c>
    </row>
    <row r="11" spans="1:8" x14ac:dyDescent="0.2">
      <c r="A11" s="15" t="e">
        <f>IF(AND('Run Log'!B9=$B$4,'Run Log'!C9=$B$5,'Run Log'!D9&lt;&gt;""),'Run Log'!D9,NA())</f>
        <v>#N/A</v>
      </c>
      <c r="B11" s="15" t="e">
        <f>IF(AND('Run Log'!B9=$B$4,'Run Log'!C9=$B$5,'Run Log'!D9&lt;&gt;""),'Run Log'!F9,NA())</f>
        <v>#N/A</v>
      </c>
      <c r="C11" s="16" t="e">
        <f>IF(AND('Run Log'!B9=$B$4,'Run Log'!C9=$B$5,'Run Log'!D9&lt;&gt;""),'Run Log'!G9,NA())</f>
        <v>#N/A</v>
      </c>
      <c r="D11" s="16" t="e">
        <f>IF(AND('Run Log'!B9=$B$4,'Run Log'!C9=$B$5,'Run Log'!D9&lt;&gt;""),'Run Log'!H9,NA())</f>
        <v>#N/A</v>
      </c>
    </row>
    <row r="12" spans="1:8" x14ac:dyDescent="0.2">
      <c r="A12" s="15" t="e">
        <f>IF(AND('Run Log'!B10=$B$4,'Run Log'!C10=$B$5,'Run Log'!D10&lt;&gt;""),'Run Log'!D10,NA())</f>
        <v>#N/A</v>
      </c>
      <c r="B12" s="15" t="e">
        <f>IF(AND('Run Log'!B10=$B$4,'Run Log'!C10=$B$5,'Run Log'!D10&lt;&gt;""),'Run Log'!F10,NA())</f>
        <v>#N/A</v>
      </c>
      <c r="C12" s="16" t="e">
        <f>IF(AND('Run Log'!B10=$B$4,'Run Log'!C10=$B$5,'Run Log'!D10&lt;&gt;""),'Run Log'!G10,NA())</f>
        <v>#N/A</v>
      </c>
      <c r="D12" s="16" t="e">
        <f>IF(AND('Run Log'!B10=$B$4,'Run Log'!C10=$B$5,'Run Log'!D10&lt;&gt;""),'Run Log'!H10,NA())</f>
        <v>#N/A</v>
      </c>
    </row>
    <row r="13" spans="1:8" x14ac:dyDescent="0.2">
      <c r="A13" s="15" t="e">
        <f>IF(AND('Run Log'!B8=$B$4,'Run Log'!C8=$B$5,'Run Log'!D8&lt;&gt;""),'Run Log'!D8,NA())</f>
        <v>#N/A</v>
      </c>
      <c r="B13" s="15" t="e">
        <f>IF(AND('Run Log'!B8=$B$4,'Run Log'!C8=$B$5,'Run Log'!D8&lt;&gt;""),'Run Log'!F8,NA())</f>
        <v>#N/A</v>
      </c>
      <c r="C13" s="16" t="e">
        <f>IF(AND('Run Log'!B8=$B$4,'Run Log'!C8=$B$5,'Run Log'!D8&lt;&gt;""),'Run Log'!G8,NA())</f>
        <v>#N/A</v>
      </c>
      <c r="D13" s="16" t="e">
        <f>IF(AND('Run Log'!B8=$B$4,'Run Log'!C8=$B$5,'Run Log'!D8&lt;&gt;""),'Run Log'!H8,NA())</f>
        <v>#N/A</v>
      </c>
    </row>
    <row r="14" spans="1:8" x14ac:dyDescent="0.2">
      <c r="A14" s="15" t="e">
        <f>IF(AND('Run Log'!B7=$B$4,'Run Log'!C7=$B$5,'Run Log'!D7&lt;&gt;""),'Run Log'!D7,NA())</f>
        <v>#N/A</v>
      </c>
      <c r="B14" s="15" t="e">
        <f>IF(AND('Run Log'!B7=$B$4,'Run Log'!C7=$B$5,'Run Log'!D7&lt;&gt;""),'Run Log'!F7,NA())</f>
        <v>#N/A</v>
      </c>
      <c r="C14" s="16" t="e">
        <f>IF(AND('Run Log'!B7=$B$4,'Run Log'!C7=$B$5,'Run Log'!D7&lt;&gt;""),'Run Log'!G7,NA())</f>
        <v>#N/A</v>
      </c>
      <c r="D14" s="16" t="e">
        <f>IF(AND('Run Log'!B7=$B$4,'Run Log'!C7=$B$5,'Run Log'!D7&lt;&gt;""),'Run Log'!H7,NA())</f>
        <v>#N/A</v>
      </c>
    </row>
    <row r="15" spans="1:8" x14ac:dyDescent="0.2">
      <c r="A15" s="15" t="e">
        <f>IF(AND('Run Log'!B6=$B$4,'Run Log'!C6=$B$5,'Run Log'!D6&lt;&gt;""),'Run Log'!D6,NA())</f>
        <v>#N/A</v>
      </c>
      <c r="B15" s="15" t="e">
        <f>IF(AND('Run Log'!B6=$B$4,'Run Log'!C6=$B$5,'Run Log'!D6&lt;&gt;""),'Run Log'!F6,NA())</f>
        <v>#N/A</v>
      </c>
      <c r="C15" s="16" t="e">
        <f>IF(AND('Run Log'!B6=$B$4,'Run Log'!C6=$B$5,'Run Log'!D6&lt;&gt;""),'Run Log'!G6,NA())</f>
        <v>#N/A</v>
      </c>
      <c r="D15" s="16" t="e">
        <f>IF(AND('Run Log'!B6=$B$4,'Run Log'!C6=$B$5,'Run Log'!D6&lt;&gt;""),'Run Log'!H6,NA())</f>
        <v>#N/A</v>
      </c>
    </row>
    <row r="16" spans="1:8" x14ac:dyDescent="0.2">
      <c r="A16" s="15" t="e">
        <f>IF(AND('Run Log'!B11=$B$4,'Run Log'!C11=$B$5,'Run Log'!D11&lt;&gt;""),'Run Log'!D11,NA())</f>
        <v>#N/A</v>
      </c>
      <c r="B16" s="15" t="e">
        <f>IF(AND('Run Log'!B11=$B$4,'Run Log'!C11=$B$5,'Run Log'!D11&lt;&gt;""),'Run Log'!F11,NA())</f>
        <v>#N/A</v>
      </c>
      <c r="C16" s="16" t="e">
        <f>IF(AND('Run Log'!B11=$B$4,'Run Log'!C11=$B$5,'Run Log'!D11&lt;&gt;""),'Run Log'!G11,NA())</f>
        <v>#N/A</v>
      </c>
      <c r="D16" s="16" t="e">
        <f>IF(AND('Run Log'!B11=$B$4,'Run Log'!C11=$B$5,'Run Log'!D11&lt;&gt;""),'Run Log'!H11,NA())</f>
        <v>#N/A</v>
      </c>
    </row>
    <row r="17" spans="1:5" x14ac:dyDescent="0.2">
      <c r="A17" s="15" t="e">
        <f>IF(AND('Run Log'!B12=$B$4,'Run Log'!C12=$B$5,'Run Log'!D12&lt;&gt;""),'Run Log'!D12,NA())</f>
        <v>#N/A</v>
      </c>
      <c r="B17" s="15" t="e">
        <f>IF(AND('Run Log'!B12=$B$4,'Run Log'!C12=$B$5,'Run Log'!D12&lt;&gt;""),'Run Log'!F12,NA())</f>
        <v>#N/A</v>
      </c>
      <c r="C17" s="16" t="e">
        <f>IF(AND('Run Log'!B12=$B$4,'Run Log'!C12=$B$5,'Run Log'!D12&lt;&gt;""),'Run Log'!G12,NA())</f>
        <v>#N/A</v>
      </c>
      <c r="D17" s="16" t="e">
        <f>IF(AND('Run Log'!B12=$B$4,'Run Log'!C12=$B$5,'Run Log'!D12&lt;&gt;""),'Run Log'!H12,NA())</f>
        <v>#N/A</v>
      </c>
    </row>
    <row r="18" spans="1:5" x14ac:dyDescent="0.2">
      <c r="A18" s="15" t="e">
        <f>IF(AND('Run Log'!B13=$B$4,'Run Log'!C13=$B$5,'Run Log'!D13&lt;&gt;""),'Run Log'!D13,NA())</f>
        <v>#N/A</v>
      </c>
      <c r="B18" s="15" t="e">
        <f>IF(AND('Run Log'!B13=$B$4,'Run Log'!C13=$B$5,'Run Log'!D13&lt;&gt;""),'Run Log'!F13,NA())</f>
        <v>#N/A</v>
      </c>
      <c r="C18" s="16" t="e">
        <f>IF(AND('Run Log'!B13=$B$4,'Run Log'!C13=$B$5,'Run Log'!D13&lt;&gt;""),'Run Log'!G13,NA())</f>
        <v>#N/A</v>
      </c>
      <c r="D18" s="16" t="e">
        <f>IF(AND('Run Log'!B13=$B$4,'Run Log'!C13=$B$5,'Run Log'!D13&lt;&gt;""),'Run Log'!H13,NA())</f>
        <v>#N/A</v>
      </c>
    </row>
    <row r="19" spans="1:5" x14ac:dyDescent="0.2">
      <c r="A19" s="15" t="e">
        <f>IF(AND('Run Log'!B14=$B$4,'Run Log'!C14=$B$5,'Run Log'!D14&lt;&gt;""),'Run Log'!D14,NA())</f>
        <v>#N/A</v>
      </c>
      <c r="B19" s="15" t="e">
        <f>IF(AND('Run Log'!B14=$B$4,'Run Log'!C14=$B$5,'Run Log'!D14&lt;&gt;""),'Run Log'!F14,NA())</f>
        <v>#N/A</v>
      </c>
      <c r="C19" s="16" t="e">
        <f>IF(AND('Run Log'!B14=$B$4,'Run Log'!C14=$B$5,'Run Log'!D14&lt;&gt;""),'Run Log'!G14,NA())</f>
        <v>#N/A</v>
      </c>
      <c r="D19" s="16" t="e">
        <f>IF(AND('Run Log'!B14=$B$4,'Run Log'!C14=$B$5,'Run Log'!D14&lt;&gt;""),'Run Log'!H14,NA())</f>
        <v>#N/A</v>
      </c>
    </row>
    <row r="20" spans="1:5" x14ac:dyDescent="0.2">
      <c r="A20" s="15" t="e">
        <f>IF(AND('Run Log'!B15=$B$4,'Run Log'!C15=$B$5,'Run Log'!D15&lt;&gt;""),'Run Log'!D15,NA())</f>
        <v>#N/A</v>
      </c>
      <c r="B20" s="15" t="e">
        <f>IF(AND('Run Log'!B15=$B$4,'Run Log'!C15=$B$5,'Run Log'!D15&lt;&gt;""),'Run Log'!F15,NA())</f>
        <v>#N/A</v>
      </c>
      <c r="C20" s="16" t="e">
        <f>IF(AND('Run Log'!B15=$B$4,'Run Log'!C15=$B$5,'Run Log'!D15&lt;&gt;""),'Run Log'!G15,NA())</f>
        <v>#N/A</v>
      </c>
      <c r="D20" s="16" t="e">
        <f>IF(AND('Run Log'!B15=$B$4,'Run Log'!C15=$B$5,'Run Log'!D15&lt;&gt;""),'Run Log'!H15,NA())</f>
        <v>#N/A</v>
      </c>
    </row>
    <row r="21" spans="1:5" x14ac:dyDescent="0.2">
      <c r="A21" s="15" t="e">
        <f>IF(AND('Run Log'!B16=$B$4,'Run Log'!C16=$B$5,'Run Log'!D16&lt;&gt;""),'Run Log'!D16,NA())</f>
        <v>#N/A</v>
      </c>
      <c r="B21" s="15" t="e">
        <f>IF(AND('Run Log'!B16=$B$4,'Run Log'!C16=$B$5,'Run Log'!D16&lt;&gt;""),'Run Log'!F16,NA())</f>
        <v>#N/A</v>
      </c>
      <c r="C21" s="16" t="e">
        <f>IF(AND('Run Log'!B16=$B$4,'Run Log'!C16=$B$5,'Run Log'!D16&lt;&gt;""),'Run Log'!G16,NA())</f>
        <v>#N/A</v>
      </c>
      <c r="D21" s="16" t="e">
        <f>IF(AND('Run Log'!B16=$B$4,'Run Log'!C16=$B$5,'Run Log'!D16&lt;&gt;""),'Run Log'!H16,NA())</f>
        <v>#N/A</v>
      </c>
    </row>
    <row r="22" spans="1:5" x14ac:dyDescent="0.2">
      <c r="A22" s="15" t="e">
        <f>IF(AND('Run Log'!B17=$B$4,'Run Log'!C17=$B$5,'Run Log'!D17&lt;&gt;""),'Run Log'!D17,NA())</f>
        <v>#N/A</v>
      </c>
      <c r="B22" s="15" t="e">
        <f>IF(AND('Run Log'!B17=$B$4,'Run Log'!C17=$B$5,'Run Log'!D17&lt;&gt;""),'Run Log'!F17,NA())</f>
        <v>#N/A</v>
      </c>
      <c r="C22" s="16" t="e">
        <f>IF(AND('Run Log'!B17=$B$4,'Run Log'!C17=$B$5,'Run Log'!D17&lt;&gt;""),'Run Log'!G17,NA())</f>
        <v>#N/A</v>
      </c>
      <c r="D22" s="16" t="e">
        <f>IF(AND('Run Log'!B17=$B$4,'Run Log'!C17=$B$5,'Run Log'!D17&lt;&gt;""),'Run Log'!H17,NA())</f>
        <v>#N/A</v>
      </c>
    </row>
    <row r="23" spans="1:5" x14ac:dyDescent="0.2">
      <c r="A23" s="15" t="e">
        <f>IF(AND('Run Log'!B18=$B$4,'Run Log'!C18=$B$5,'Run Log'!D18&lt;&gt;""),'Run Log'!D18,NA())</f>
        <v>#N/A</v>
      </c>
      <c r="B23" s="15" t="e">
        <f>IF(AND('Run Log'!B18=$B$4,'Run Log'!C18=$B$5,'Run Log'!D18&lt;&gt;""),'Run Log'!F18,NA())</f>
        <v>#N/A</v>
      </c>
      <c r="C23" s="16" t="e">
        <f>IF(AND('Run Log'!B18=$B$4,'Run Log'!C18=$B$5,'Run Log'!D18&lt;&gt;""),'Run Log'!G18,NA())</f>
        <v>#N/A</v>
      </c>
      <c r="D23" s="16" t="e">
        <f>IF(AND('Run Log'!B18=$B$4,'Run Log'!C18=$B$5,'Run Log'!D18&lt;&gt;""),'Run Log'!H18,NA())</f>
        <v>#N/A</v>
      </c>
    </row>
    <row r="24" spans="1:5" x14ac:dyDescent="0.2">
      <c r="A24" s="15" t="e">
        <f>IF(AND('Run Log'!B19=$B$4,'Run Log'!C19=$B$5,'Run Log'!D19&lt;&gt;""),'Run Log'!D19,NA())</f>
        <v>#N/A</v>
      </c>
      <c r="B24" s="15" t="e">
        <f>IF(AND('Run Log'!B19=$B$4,'Run Log'!C19=$B$5,'Run Log'!D19&lt;&gt;""),'Run Log'!F19,NA())</f>
        <v>#N/A</v>
      </c>
      <c r="C24" s="16" t="e">
        <f>IF(AND('Run Log'!B19=$B$4,'Run Log'!C19=$B$5,'Run Log'!D19&lt;&gt;""),'Run Log'!G19,NA())</f>
        <v>#N/A</v>
      </c>
      <c r="D24" s="16" t="e">
        <f>IF(AND('Run Log'!B19=$B$4,'Run Log'!C19=$B$5,'Run Log'!D19&lt;&gt;""),'Run Log'!H19,NA())</f>
        <v>#N/A</v>
      </c>
    </row>
    <row r="25" spans="1:5" x14ac:dyDescent="0.2">
      <c r="A25" s="15" t="e">
        <f>IF(AND('Run Log'!B20=$B$4,'Run Log'!C20=$B$5,'Run Log'!D20&lt;&gt;""),'Run Log'!D20,NA())</f>
        <v>#N/A</v>
      </c>
      <c r="B25" s="15" t="e">
        <f>IF(AND('Run Log'!B20=$B$4,'Run Log'!C20=$B$5,'Run Log'!D20&lt;&gt;""),'Run Log'!F20,NA())</f>
        <v>#N/A</v>
      </c>
      <c r="C25" s="16" t="e">
        <f>IF(AND('Run Log'!B20=$B$4,'Run Log'!C20=$B$5,'Run Log'!D20&lt;&gt;""),'Run Log'!G20,NA())</f>
        <v>#N/A</v>
      </c>
      <c r="D25" s="16" t="e">
        <f>IF(AND('Run Log'!B20=$B$4,'Run Log'!C20=$B$5,'Run Log'!D20&lt;&gt;""),'Run Log'!H20,NA())</f>
        <v>#N/A</v>
      </c>
      <c r="E25" s="21"/>
    </row>
    <row r="26" spans="1:5" x14ac:dyDescent="0.2">
      <c r="A26" s="15" t="e">
        <f>IF(AND('Run Log'!B21=$B$4,'Run Log'!C21=$B$5,'Run Log'!D21&lt;&gt;""),'Run Log'!D21,NA())</f>
        <v>#N/A</v>
      </c>
      <c r="B26" s="15" t="e">
        <f>IF(AND('Run Log'!B21=$B$4,'Run Log'!C21=$B$5,'Run Log'!D21&lt;&gt;""),'Run Log'!F21,NA())</f>
        <v>#N/A</v>
      </c>
      <c r="C26" s="16" t="e">
        <f>IF(AND('Run Log'!B21=$B$4,'Run Log'!C21=$B$5,'Run Log'!D21&lt;&gt;""),'Run Log'!G21,NA())</f>
        <v>#N/A</v>
      </c>
      <c r="D26" s="16" t="e">
        <f>IF(AND('Run Log'!B21=$B$4,'Run Log'!C21=$B$5,'Run Log'!D21&lt;&gt;""),'Run Log'!H21,NA())</f>
        <v>#N/A</v>
      </c>
    </row>
    <row r="27" spans="1:5" x14ac:dyDescent="0.2">
      <c r="A27" s="15" t="e">
        <f>IF(AND('Run Log'!B22=$B$4,'Run Log'!C22=$B$5,'Run Log'!D22&lt;&gt;""),'Run Log'!D22,NA())</f>
        <v>#N/A</v>
      </c>
      <c r="B27" s="15" t="e">
        <f>IF(AND('Run Log'!B22=$B$4,'Run Log'!C22=$B$5,'Run Log'!D22&lt;&gt;""),'Run Log'!F22,NA())</f>
        <v>#N/A</v>
      </c>
      <c r="C27" s="16" t="e">
        <f>IF(AND('Run Log'!B22=$B$4,'Run Log'!C22=$B$5,'Run Log'!D22&lt;&gt;""),'Run Log'!G22,NA())</f>
        <v>#N/A</v>
      </c>
      <c r="D27" s="16" t="e">
        <f>IF(AND('Run Log'!B22=$B$4,'Run Log'!C22=$B$5,'Run Log'!D22&lt;&gt;""),'Run Log'!H22,NA())</f>
        <v>#N/A</v>
      </c>
    </row>
    <row r="28" spans="1:5" x14ac:dyDescent="0.2">
      <c r="A28" s="15" t="e">
        <f>IF(AND('Run Log'!B23=$B$4,'Run Log'!C23=$B$5,'Run Log'!D23&lt;&gt;""),'Run Log'!D23,NA())</f>
        <v>#N/A</v>
      </c>
      <c r="B28" s="15" t="e">
        <f>IF(AND('Run Log'!B23=$B$4,'Run Log'!C23=$B$5,'Run Log'!D23&lt;&gt;""),'Run Log'!F23,NA())</f>
        <v>#N/A</v>
      </c>
      <c r="C28" s="16" t="e">
        <f>IF(AND('Run Log'!B23=$B$4,'Run Log'!C23=$B$5,'Run Log'!D23&lt;&gt;""),'Run Log'!G23,NA())</f>
        <v>#N/A</v>
      </c>
      <c r="D28" s="16" t="e">
        <f>IF(AND('Run Log'!B23=$B$4,'Run Log'!C23=$B$5,'Run Log'!D23&lt;&gt;""),'Run Log'!H23,NA())</f>
        <v>#N/A</v>
      </c>
    </row>
    <row r="29" spans="1:5" x14ac:dyDescent="0.2">
      <c r="A29" s="15" t="e">
        <f>IF(AND('Run Log'!B24=$B$4,'Run Log'!C24=$B$5,'Run Log'!D24&lt;&gt;""),'Run Log'!D24,NA())</f>
        <v>#N/A</v>
      </c>
      <c r="B29" s="15" t="e">
        <f>IF(AND('Run Log'!B24=$B$4,'Run Log'!C24=$B$5,'Run Log'!D24&lt;&gt;""),'Run Log'!F24,NA())</f>
        <v>#N/A</v>
      </c>
      <c r="C29" s="16" t="e">
        <f>IF(AND('Run Log'!B24=$B$4,'Run Log'!C24=$B$5,'Run Log'!D24&lt;&gt;""),'Run Log'!G24,NA())</f>
        <v>#N/A</v>
      </c>
      <c r="D29" s="16" t="e">
        <f>IF(AND('Run Log'!B24=$B$4,'Run Log'!C24=$B$5,'Run Log'!D24&lt;&gt;""),'Run Log'!H24,NA())</f>
        <v>#N/A</v>
      </c>
    </row>
    <row r="30" spans="1:5" x14ac:dyDescent="0.2">
      <c r="A30" s="15" t="e">
        <f>IF(AND('Run Log'!B25=$B$4,'Run Log'!C25=$B$5,'Run Log'!D25&lt;&gt;""),'Run Log'!D25,NA())</f>
        <v>#N/A</v>
      </c>
      <c r="B30" s="15" t="e">
        <f>IF(AND('Run Log'!B25=$B$4,'Run Log'!C25=$B$5,'Run Log'!D25&lt;&gt;""),'Run Log'!F25,NA())</f>
        <v>#N/A</v>
      </c>
      <c r="C30" s="16" t="e">
        <f>IF(AND('Run Log'!B25=$B$4,'Run Log'!C25=$B$5,'Run Log'!D25&lt;&gt;""),'Run Log'!G25,NA())</f>
        <v>#N/A</v>
      </c>
      <c r="D30" s="16" t="e">
        <f>IF(AND('Run Log'!B25=$B$4,'Run Log'!C25=$B$5,'Run Log'!D25&lt;&gt;""),'Run Log'!H25,NA())</f>
        <v>#N/A</v>
      </c>
    </row>
    <row r="31" spans="1:5" x14ac:dyDescent="0.2">
      <c r="A31" s="15" t="e">
        <f>IF(AND('Run Log'!B26=$B$4,'Run Log'!C26=$B$5,'Run Log'!D26&lt;&gt;""),'Run Log'!D26,NA())</f>
        <v>#N/A</v>
      </c>
      <c r="B31" s="15" t="e">
        <f>IF(AND('Run Log'!B26=$B$4,'Run Log'!C26=$B$5,'Run Log'!D26&lt;&gt;""),'Run Log'!F26,NA())</f>
        <v>#N/A</v>
      </c>
      <c r="C31" s="16" t="e">
        <f>IF(AND('Run Log'!B26=$B$4,'Run Log'!C26=$B$5,'Run Log'!D26&lt;&gt;""),'Run Log'!G26,NA())</f>
        <v>#N/A</v>
      </c>
      <c r="D31" s="16" t="e">
        <f>IF(AND('Run Log'!B26=$B$4,'Run Log'!C26=$B$5,'Run Log'!D26&lt;&gt;""),'Run Log'!H26,NA())</f>
        <v>#N/A</v>
      </c>
    </row>
    <row r="32" spans="1:5" x14ac:dyDescent="0.2">
      <c r="A32" s="15" t="e">
        <f>IF(AND('Run Log'!B27=$B$4,'Run Log'!C27=$B$5,'Run Log'!D27&lt;&gt;""),'Run Log'!D27,NA())</f>
        <v>#N/A</v>
      </c>
      <c r="B32" s="15" t="e">
        <f>IF(AND('Run Log'!B27=$B$4,'Run Log'!C27=$B$5,'Run Log'!D27&lt;&gt;""),'Run Log'!F27,NA())</f>
        <v>#N/A</v>
      </c>
      <c r="C32" s="16" t="e">
        <f>IF(AND('Run Log'!B27=$B$4,'Run Log'!C27=$B$5,'Run Log'!D27&lt;&gt;""),'Run Log'!G27,NA())</f>
        <v>#N/A</v>
      </c>
      <c r="D32" s="16" t="e">
        <f>IF(AND('Run Log'!B27=$B$4,'Run Log'!C27=$B$5,'Run Log'!D27&lt;&gt;""),'Run Log'!H27,NA())</f>
        <v>#N/A</v>
      </c>
    </row>
    <row r="33" spans="1:4" x14ac:dyDescent="0.2">
      <c r="A33" s="15" t="e">
        <f>IF(AND('Run Log'!B28=$B$4,'Run Log'!C28=$B$5,'Run Log'!D28&lt;&gt;""),'Run Log'!D28,NA())</f>
        <v>#N/A</v>
      </c>
      <c r="B33" s="15" t="e">
        <f>IF(AND('Run Log'!B28=$B$4,'Run Log'!C28=$B$5,'Run Log'!D28&lt;&gt;""),'Run Log'!F28,NA())</f>
        <v>#N/A</v>
      </c>
      <c r="C33" s="16" t="e">
        <f>IF(AND('Run Log'!B28=$B$4,'Run Log'!C28=$B$5,'Run Log'!D28&lt;&gt;""),'Run Log'!G28,NA())</f>
        <v>#N/A</v>
      </c>
      <c r="D33" s="16" t="e">
        <f>IF(AND('Run Log'!B28=$B$4,'Run Log'!C28=$B$5,'Run Log'!D28&lt;&gt;""),'Run Log'!H28,NA())</f>
        <v>#N/A</v>
      </c>
    </row>
    <row r="34" spans="1:4" x14ac:dyDescent="0.2">
      <c r="A34" s="15" t="e">
        <f>IF(AND('Run Log'!B29=$B$4,'Run Log'!C29=$B$5,'Run Log'!D29&lt;&gt;""),'Run Log'!D29,NA())</f>
        <v>#N/A</v>
      </c>
      <c r="B34" s="15" t="e">
        <f>IF(AND('Run Log'!B29=$B$4,'Run Log'!C29=$B$5,'Run Log'!D29&lt;&gt;""),'Run Log'!F29,NA())</f>
        <v>#N/A</v>
      </c>
      <c r="C34" s="16" t="e">
        <f>IF(AND('Run Log'!B29=$B$4,'Run Log'!C29=$B$5,'Run Log'!D29&lt;&gt;""),'Run Log'!G29,NA())</f>
        <v>#N/A</v>
      </c>
      <c r="D34" s="16" t="e">
        <f>IF(AND('Run Log'!B29=$B$4,'Run Log'!C29=$B$5,'Run Log'!D29&lt;&gt;""),'Run Log'!H29,NA())</f>
        <v>#N/A</v>
      </c>
    </row>
    <row r="35" spans="1:4" x14ac:dyDescent="0.2">
      <c r="A35" s="15" t="e">
        <f>IF(AND('Run Log'!B30=$B$4,'Run Log'!C30=$B$5,'Run Log'!D30&lt;&gt;""),'Run Log'!D30,NA())</f>
        <v>#N/A</v>
      </c>
      <c r="B35" s="15" t="e">
        <f>IF(AND('Run Log'!B30=$B$4,'Run Log'!C30=$B$5,'Run Log'!D30&lt;&gt;""),'Run Log'!F30,NA())</f>
        <v>#N/A</v>
      </c>
      <c r="C35" s="16" t="e">
        <f>IF(AND('Run Log'!B30=$B$4,'Run Log'!C30=$B$5,'Run Log'!D30&lt;&gt;""),'Run Log'!G30,NA())</f>
        <v>#N/A</v>
      </c>
      <c r="D35" s="16" t="e">
        <f>IF(AND('Run Log'!B30=$B$4,'Run Log'!C30=$B$5,'Run Log'!D30&lt;&gt;""),'Run Log'!H30,NA())</f>
        <v>#N/A</v>
      </c>
    </row>
    <row r="36" spans="1:4" x14ac:dyDescent="0.2">
      <c r="A36" s="15" t="e">
        <f>IF(AND('Run Log'!B31=$B$4,'Run Log'!C31=$B$5,'Run Log'!D31&lt;&gt;""),'Run Log'!D31,NA())</f>
        <v>#N/A</v>
      </c>
      <c r="B36" s="15" t="e">
        <f>IF(AND('Run Log'!B31=$B$4,'Run Log'!C31=$B$5,'Run Log'!D31&lt;&gt;""),'Run Log'!F31,NA())</f>
        <v>#N/A</v>
      </c>
      <c r="C36" s="16" t="e">
        <f>IF(AND('Run Log'!B31=$B$4,'Run Log'!C31=$B$5,'Run Log'!D31&lt;&gt;""),'Run Log'!G31,NA())</f>
        <v>#N/A</v>
      </c>
      <c r="D36" s="16" t="e">
        <f>IF(AND('Run Log'!B31=$B$4,'Run Log'!C31=$B$5,'Run Log'!D31&lt;&gt;""),'Run Log'!H31,NA())</f>
        <v>#N/A</v>
      </c>
    </row>
    <row r="37" spans="1:4" x14ac:dyDescent="0.2">
      <c r="A37" s="15" t="e">
        <f>IF(AND('Run Log'!B32=$B$4,'Run Log'!C32=$B$5,'Run Log'!D32&lt;&gt;""),'Run Log'!D32,NA())</f>
        <v>#N/A</v>
      </c>
      <c r="B37" s="15" t="e">
        <f>IF(AND('Run Log'!B32=$B$4,'Run Log'!C32=$B$5,'Run Log'!D32&lt;&gt;""),'Run Log'!F32,NA())</f>
        <v>#N/A</v>
      </c>
      <c r="C37" s="16" t="e">
        <f>IF(AND('Run Log'!B32=$B$4,'Run Log'!C32=$B$5,'Run Log'!D32&lt;&gt;""),'Run Log'!G32,NA())</f>
        <v>#N/A</v>
      </c>
      <c r="D37" s="16" t="e">
        <f>IF(AND('Run Log'!B32=$B$4,'Run Log'!C32=$B$5,'Run Log'!D32&lt;&gt;""),'Run Log'!H32,NA())</f>
        <v>#N/A</v>
      </c>
    </row>
    <row r="38" spans="1:4" x14ac:dyDescent="0.2">
      <c r="A38" s="15" t="e">
        <f>IF(AND('Run Log'!B33=$B$4,'Run Log'!C33=$B$5,'Run Log'!D33&lt;&gt;""),'Run Log'!D33,NA())</f>
        <v>#N/A</v>
      </c>
      <c r="B38" s="15" t="e">
        <f>IF(AND('Run Log'!B33=$B$4,'Run Log'!C33=$B$5,'Run Log'!D33&lt;&gt;""),'Run Log'!F33,NA())</f>
        <v>#N/A</v>
      </c>
      <c r="C38" s="16" t="e">
        <f>IF(AND('Run Log'!B33=$B$4,'Run Log'!C33=$B$5,'Run Log'!D33&lt;&gt;""),'Run Log'!G33,NA())</f>
        <v>#N/A</v>
      </c>
      <c r="D38" s="16" t="e">
        <f>IF(AND('Run Log'!B33=$B$4,'Run Log'!C33=$B$5,'Run Log'!D33&lt;&gt;""),'Run Log'!H33,NA())</f>
        <v>#N/A</v>
      </c>
    </row>
    <row r="39" spans="1:4" x14ac:dyDescent="0.2">
      <c r="A39" s="15" t="e">
        <f>IF(AND('Run Log'!B34=$B$4,'Run Log'!C34=$B$5,'Run Log'!D34&lt;&gt;""),'Run Log'!D34,NA())</f>
        <v>#N/A</v>
      </c>
      <c r="B39" s="15" t="e">
        <f>IF(AND('Run Log'!B34=$B$4,'Run Log'!C34=$B$5,'Run Log'!D34&lt;&gt;""),'Run Log'!F34,NA())</f>
        <v>#N/A</v>
      </c>
      <c r="C39" s="16" t="e">
        <f>IF(AND('Run Log'!B34=$B$4,'Run Log'!C34=$B$5,'Run Log'!D34&lt;&gt;""),'Run Log'!G34,NA())</f>
        <v>#N/A</v>
      </c>
      <c r="D39" s="16" t="e">
        <f>IF(AND('Run Log'!B34=$B$4,'Run Log'!C34=$B$5,'Run Log'!D34&lt;&gt;""),'Run Log'!H34,NA())</f>
        <v>#N/A</v>
      </c>
    </row>
    <row r="40" spans="1:4" x14ac:dyDescent="0.2">
      <c r="A40" s="15" t="e">
        <f>IF(AND('Run Log'!B35=$B$4,'Run Log'!C35=$B$5,'Run Log'!D35&lt;&gt;""),'Run Log'!D35,NA())</f>
        <v>#N/A</v>
      </c>
      <c r="B40" s="15" t="e">
        <f>IF(AND('Run Log'!B35=$B$4,'Run Log'!C35=$B$5,'Run Log'!D35&lt;&gt;""),'Run Log'!F35,NA())</f>
        <v>#N/A</v>
      </c>
      <c r="C40" s="16" t="e">
        <f>IF(AND('Run Log'!B35=$B$4,'Run Log'!C35=$B$5,'Run Log'!D35&lt;&gt;""),'Run Log'!G35,NA())</f>
        <v>#N/A</v>
      </c>
      <c r="D40" s="16" t="e">
        <f>IF(AND('Run Log'!B35=$B$4,'Run Log'!C35=$B$5,'Run Log'!D35&lt;&gt;""),'Run Log'!H35,NA())</f>
        <v>#N/A</v>
      </c>
    </row>
    <row r="41" spans="1:4" x14ac:dyDescent="0.2">
      <c r="A41" s="15" t="e">
        <f>IF(AND('Run Log'!B36=$B$4,'Run Log'!C36=$B$5,'Run Log'!D36&lt;&gt;""),'Run Log'!D36,NA())</f>
        <v>#N/A</v>
      </c>
      <c r="B41" s="15" t="e">
        <f>IF(AND('Run Log'!B36=$B$4,'Run Log'!C36=$B$5,'Run Log'!D36&lt;&gt;""),'Run Log'!F36,NA())</f>
        <v>#N/A</v>
      </c>
      <c r="C41" s="16" t="e">
        <f>IF(AND('Run Log'!B36=$B$4,'Run Log'!C36=$B$5,'Run Log'!D36&lt;&gt;""),'Run Log'!G36,NA())</f>
        <v>#N/A</v>
      </c>
      <c r="D41" s="16" t="e">
        <f>IF(AND('Run Log'!B36=$B$4,'Run Log'!C36=$B$5,'Run Log'!D36&lt;&gt;""),'Run Log'!H36,NA())</f>
        <v>#N/A</v>
      </c>
    </row>
    <row r="42" spans="1:4" x14ac:dyDescent="0.2">
      <c r="A42" s="15" t="e">
        <f>IF(AND('Run Log'!B37=$B$4,'Run Log'!C37=$B$5,'Run Log'!D37&lt;&gt;""),'Run Log'!D37,NA())</f>
        <v>#N/A</v>
      </c>
      <c r="B42" s="15" t="e">
        <f>IF(AND('Run Log'!B37=$B$4,'Run Log'!C37=$B$5,'Run Log'!D37&lt;&gt;""),'Run Log'!F37,NA())</f>
        <v>#N/A</v>
      </c>
      <c r="C42" s="16" t="e">
        <f>IF(AND('Run Log'!B37=$B$4,'Run Log'!C37=$B$5,'Run Log'!D37&lt;&gt;""),'Run Log'!G37,NA())</f>
        <v>#N/A</v>
      </c>
      <c r="D42" s="16" t="e">
        <f>IF(AND('Run Log'!B37=$B$4,'Run Log'!C37=$B$5,'Run Log'!D37&lt;&gt;""),'Run Log'!H37,NA())</f>
        <v>#N/A</v>
      </c>
    </row>
    <row r="43" spans="1:4" x14ac:dyDescent="0.2">
      <c r="A43" s="15" t="e">
        <f>IF(AND('Run Log'!B38=$B$4,'Run Log'!C38=$B$5,'Run Log'!D38&lt;&gt;""),'Run Log'!D38,NA())</f>
        <v>#N/A</v>
      </c>
      <c r="B43" s="15" t="e">
        <f>IF(AND('Run Log'!B38=$B$4,'Run Log'!C38=$B$5,'Run Log'!D38&lt;&gt;""),'Run Log'!F38,NA())</f>
        <v>#N/A</v>
      </c>
      <c r="C43" s="16" t="e">
        <f>IF(AND('Run Log'!B38=$B$4,'Run Log'!C38=$B$5,'Run Log'!D38&lt;&gt;""),'Run Log'!G38,NA())</f>
        <v>#N/A</v>
      </c>
      <c r="D43" s="16" t="e">
        <f>IF(AND('Run Log'!B38=$B$4,'Run Log'!C38=$B$5,'Run Log'!D38&lt;&gt;""),'Run Log'!H38,NA())</f>
        <v>#N/A</v>
      </c>
    </row>
    <row r="44" spans="1:4" x14ac:dyDescent="0.2">
      <c r="A44" s="15" t="e">
        <f>IF(AND('Run Log'!B39=$B$4,'Run Log'!C39=$B$5,'Run Log'!D39&lt;&gt;""),'Run Log'!D39,NA())</f>
        <v>#N/A</v>
      </c>
      <c r="B44" s="15" t="e">
        <f>IF(AND('Run Log'!B39=$B$4,'Run Log'!C39=$B$5,'Run Log'!D39&lt;&gt;""),'Run Log'!F39,NA())</f>
        <v>#N/A</v>
      </c>
      <c r="C44" s="16" t="e">
        <f>IF(AND('Run Log'!B39=$B$4,'Run Log'!C39=$B$5,'Run Log'!D39&lt;&gt;""),'Run Log'!G39,NA())</f>
        <v>#N/A</v>
      </c>
      <c r="D44" s="16" t="e">
        <f>IF(AND('Run Log'!B39=$B$4,'Run Log'!C39=$B$5,'Run Log'!D39&lt;&gt;""),'Run Log'!H39,NA())</f>
        <v>#N/A</v>
      </c>
    </row>
    <row r="45" spans="1:4" x14ac:dyDescent="0.2">
      <c r="A45" s="15" t="e">
        <f>IF(AND('Run Log'!B40=$B$4,'Run Log'!C40=$B$5,'Run Log'!D40&lt;&gt;""),'Run Log'!D40,NA())</f>
        <v>#N/A</v>
      </c>
      <c r="B45" s="15" t="e">
        <f>IF(AND('Run Log'!B40=$B$4,'Run Log'!C40=$B$5,'Run Log'!D40&lt;&gt;""),'Run Log'!F40,NA())</f>
        <v>#N/A</v>
      </c>
      <c r="C45" s="16" t="e">
        <f>IF(AND('Run Log'!B40=$B$4,'Run Log'!C40=$B$5,'Run Log'!D40&lt;&gt;""),'Run Log'!G40,NA())</f>
        <v>#N/A</v>
      </c>
      <c r="D45" s="16" t="e">
        <f>IF(AND('Run Log'!B40=$B$4,'Run Log'!C40=$B$5,'Run Log'!D40&lt;&gt;""),'Run Log'!H40,NA())</f>
        <v>#N/A</v>
      </c>
    </row>
    <row r="46" spans="1:4" x14ac:dyDescent="0.2">
      <c r="A46" s="15" t="e">
        <f>IF(AND('Run Log'!B41=$B$4,'Run Log'!C41=$B$5,'Run Log'!D41&lt;&gt;""),'Run Log'!D41,NA())</f>
        <v>#N/A</v>
      </c>
      <c r="B46" s="15" t="e">
        <f>IF(AND('Run Log'!B41=$B$4,'Run Log'!C41=$B$5,'Run Log'!D41&lt;&gt;""),'Run Log'!F41,NA())</f>
        <v>#N/A</v>
      </c>
      <c r="C46" s="16" t="e">
        <f>IF(AND('Run Log'!B41=$B$4,'Run Log'!C41=$B$5,'Run Log'!D41&lt;&gt;""),'Run Log'!G41,NA())</f>
        <v>#N/A</v>
      </c>
      <c r="D46" s="16" t="e">
        <f>IF(AND('Run Log'!B41=$B$4,'Run Log'!C41=$B$5,'Run Log'!D41&lt;&gt;""),'Run Log'!H41,NA())</f>
        <v>#N/A</v>
      </c>
    </row>
    <row r="47" spans="1:4" x14ac:dyDescent="0.2">
      <c r="A47" s="15" t="e">
        <f>IF(AND('Run Log'!B42=$B$4,'Run Log'!C42=$B$5,'Run Log'!D42&lt;&gt;""),'Run Log'!D42,NA())</f>
        <v>#N/A</v>
      </c>
      <c r="B47" s="15" t="e">
        <f>IF(AND('Run Log'!B42=$B$4,'Run Log'!C42=$B$5,'Run Log'!D42&lt;&gt;""),'Run Log'!F42,NA())</f>
        <v>#N/A</v>
      </c>
      <c r="C47" s="16" t="e">
        <f>IF(AND('Run Log'!B42=$B$4,'Run Log'!C42=$B$5,'Run Log'!D42&lt;&gt;""),'Run Log'!G42,NA())</f>
        <v>#N/A</v>
      </c>
      <c r="D47" s="16" t="e">
        <f>IF(AND('Run Log'!B42=$B$4,'Run Log'!C42=$B$5,'Run Log'!D42&lt;&gt;""),'Run Log'!H42,NA())</f>
        <v>#N/A</v>
      </c>
    </row>
    <row r="48" spans="1:4" x14ac:dyDescent="0.2">
      <c r="A48" s="15" t="e">
        <f>IF(AND('Run Log'!B43=$B$4,'Run Log'!C43=$B$5,'Run Log'!D43&lt;&gt;""),'Run Log'!D43,NA())</f>
        <v>#N/A</v>
      </c>
      <c r="B48" s="15" t="e">
        <f>IF(AND('Run Log'!B43=$B$4,'Run Log'!C43=$B$5,'Run Log'!D43&lt;&gt;""),'Run Log'!F43,NA())</f>
        <v>#N/A</v>
      </c>
      <c r="C48" s="16" t="e">
        <f>IF(AND('Run Log'!B43=$B$4,'Run Log'!C43=$B$5,'Run Log'!D43&lt;&gt;""),'Run Log'!G43,NA())</f>
        <v>#N/A</v>
      </c>
      <c r="D48" s="16" t="e">
        <f>IF(AND('Run Log'!B43=$B$4,'Run Log'!C43=$B$5,'Run Log'!D43&lt;&gt;""),'Run Log'!H43,NA())</f>
        <v>#N/A</v>
      </c>
    </row>
    <row r="49" spans="1:4" x14ac:dyDescent="0.2">
      <c r="A49" s="15" t="e">
        <f>IF(AND('Run Log'!B44=$B$4,'Run Log'!C44=$B$5,'Run Log'!D44&lt;&gt;""),'Run Log'!D44,NA())</f>
        <v>#N/A</v>
      </c>
      <c r="B49" s="15" t="e">
        <f>IF(AND('Run Log'!B44=$B$4,'Run Log'!C44=$B$5,'Run Log'!D44&lt;&gt;""),'Run Log'!F44,NA())</f>
        <v>#N/A</v>
      </c>
      <c r="C49" s="16" t="e">
        <f>IF(AND('Run Log'!B44=$B$4,'Run Log'!C44=$B$5,'Run Log'!D44&lt;&gt;""),'Run Log'!G44,NA())</f>
        <v>#N/A</v>
      </c>
      <c r="D49" s="16" t="e">
        <f>IF(AND('Run Log'!B44=$B$4,'Run Log'!C44=$B$5,'Run Log'!D44&lt;&gt;""),'Run Log'!H44,NA())</f>
        <v>#N/A</v>
      </c>
    </row>
    <row r="50" spans="1:4" x14ac:dyDescent="0.2">
      <c r="A50" s="15" t="e">
        <f>IF(AND('Run Log'!B45=$B$4,'Run Log'!C45=$B$5,'Run Log'!D45&lt;&gt;""),'Run Log'!D45,NA())</f>
        <v>#N/A</v>
      </c>
      <c r="B50" s="15" t="e">
        <f>IF(AND('Run Log'!B45=$B$4,'Run Log'!C45=$B$5,'Run Log'!D45&lt;&gt;""),'Run Log'!F45,NA())</f>
        <v>#N/A</v>
      </c>
      <c r="C50" s="16" t="e">
        <f>IF(AND('Run Log'!B45=$B$4,'Run Log'!C45=$B$5,'Run Log'!D45&lt;&gt;""),'Run Log'!G45,NA())</f>
        <v>#N/A</v>
      </c>
      <c r="D50" s="16" t="e">
        <f>IF(AND('Run Log'!B45=$B$4,'Run Log'!C45=$B$5,'Run Log'!D45&lt;&gt;""),'Run Log'!H45,NA())</f>
        <v>#N/A</v>
      </c>
    </row>
    <row r="51" spans="1:4" x14ac:dyDescent="0.2">
      <c r="A51" s="15" t="e">
        <f>IF(AND('Run Log'!B46=$B$4,'Run Log'!C46=$B$5,'Run Log'!D46&lt;&gt;""),'Run Log'!D46,NA())</f>
        <v>#N/A</v>
      </c>
      <c r="B51" s="15" t="e">
        <f>IF(AND('Run Log'!B46=$B$4,'Run Log'!C46=$B$5,'Run Log'!D46&lt;&gt;""),'Run Log'!F46,NA())</f>
        <v>#N/A</v>
      </c>
      <c r="C51" s="16" t="e">
        <f>IF(AND('Run Log'!B46=$B$4,'Run Log'!C46=$B$5,'Run Log'!D46&lt;&gt;""),'Run Log'!G46,NA())</f>
        <v>#N/A</v>
      </c>
      <c r="D51" s="16" t="e">
        <f>IF(AND('Run Log'!B46=$B$4,'Run Log'!C46=$B$5,'Run Log'!D46&lt;&gt;""),'Run Log'!H46,NA())</f>
        <v>#N/A</v>
      </c>
    </row>
    <row r="52" spans="1:4" x14ac:dyDescent="0.2">
      <c r="A52" s="15" t="e">
        <f>IF(AND('Run Log'!B47=$B$4,'Run Log'!C47=$B$5,'Run Log'!D47&lt;&gt;""),'Run Log'!D47,NA())</f>
        <v>#N/A</v>
      </c>
      <c r="B52" s="15" t="e">
        <f>IF(AND('Run Log'!B47=$B$4,'Run Log'!C47=$B$5,'Run Log'!D47&lt;&gt;""),'Run Log'!F47,NA())</f>
        <v>#N/A</v>
      </c>
      <c r="C52" s="16" t="e">
        <f>IF(AND('Run Log'!B47=$B$4,'Run Log'!C47=$B$5,'Run Log'!D47&lt;&gt;""),'Run Log'!G47,NA())</f>
        <v>#N/A</v>
      </c>
      <c r="D52" s="16" t="e">
        <f>IF(AND('Run Log'!B47=$B$4,'Run Log'!C47=$B$5,'Run Log'!D47&lt;&gt;""),'Run Log'!H47,NA())</f>
        <v>#N/A</v>
      </c>
    </row>
    <row r="53" spans="1:4" x14ac:dyDescent="0.2">
      <c r="A53" s="15" t="e">
        <f>IF(AND('Run Log'!B48=$B$4,'Run Log'!C48=$B$5,'Run Log'!D48&lt;&gt;""),'Run Log'!D48,NA())</f>
        <v>#N/A</v>
      </c>
      <c r="B53" s="15" t="e">
        <f>IF(AND('Run Log'!B48=$B$4,'Run Log'!C48=$B$5,'Run Log'!D48&lt;&gt;""),'Run Log'!F48,NA())</f>
        <v>#N/A</v>
      </c>
      <c r="C53" s="16" t="e">
        <f>IF(AND('Run Log'!B48=$B$4,'Run Log'!C48=$B$5,'Run Log'!D48&lt;&gt;""),'Run Log'!G48,NA())</f>
        <v>#N/A</v>
      </c>
      <c r="D53" s="16" t="e">
        <f>IF(AND('Run Log'!B48=$B$4,'Run Log'!C48=$B$5,'Run Log'!D48&lt;&gt;""),'Run Log'!H48,NA())</f>
        <v>#N/A</v>
      </c>
    </row>
    <row r="54" spans="1:4" x14ac:dyDescent="0.2">
      <c r="A54" s="15" t="e">
        <f>IF(AND('Run Log'!B49=$B$4,'Run Log'!C49=$B$5,'Run Log'!D49&lt;&gt;""),'Run Log'!D49,NA())</f>
        <v>#N/A</v>
      </c>
      <c r="B54" s="15" t="e">
        <f>IF(AND('Run Log'!B49=$B$4,'Run Log'!C49=$B$5,'Run Log'!D49&lt;&gt;""),'Run Log'!F49,NA())</f>
        <v>#N/A</v>
      </c>
      <c r="C54" s="16" t="e">
        <f>IF(AND('Run Log'!B49=$B$4,'Run Log'!C49=$B$5,'Run Log'!D49&lt;&gt;""),'Run Log'!G49,NA())</f>
        <v>#N/A</v>
      </c>
      <c r="D54" s="16" t="e">
        <f>IF(AND('Run Log'!B49=$B$4,'Run Log'!C49=$B$5,'Run Log'!D49&lt;&gt;""),'Run Log'!H49,NA())</f>
        <v>#N/A</v>
      </c>
    </row>
    <row r="55" spans="1:4" x14ac:dyDescent="0.2">
      <c r="A55" s="15" t="e">
        <f>IF(AND('Run Log'!B50=$B$4,'Run Log'!C50=$B$5,'Run Log'!D50&lt;&gt;""),'Run Log'!D50,NA())</f>
        <v>#N/A</v>
      </c>
      <c r="B55" s="15" t="e">
        <f>IF(AND('Run Log'!B50=$B$4,'Run Log'!C50=$B$5,'Run Log'!D50&lt;&gt;""),'Run Log'!F50,NA())</f>
        <v>#N/A</v>
      </c>
      <c r="C55" s="16" t="e">
        <f>IF(AND('Run Log'!B50=$B$4,'Run Log'!C50=$B$5,'Run Log'!D50&lt;&gt;""),'Run Log'!G50,NA())</f>
        <v>#N/A</v>
      </c>
      <c r="D55" s="16" t="e">
        <f>IF(AND('Run Log'!B50=$B$4,'Run Log'!C50=$B$5,'Run Log'!D50&lt;&gt;""),'Run Log'!H50,NA())</f>
        <v>#N/A</v>
      </c>
    </row>
    <row r="56" spans="1:4" x14ac:dyDescent="0.2">
      <c r="A56" s="15" t="e">
        <f>IF(AND('Run Log'!B51=$B$4,'Run Log'!C51=$B$5,'Run Log'!D51&lt;&gt;""),'Run Log'!D51,NA())</f>
        <v>#N/A</v>
      </c>
      <c r="B56" s="15" t="e">
        <f>IF(AND('Run Log'!B51=$B$4,'Run Log'!C51=$B$5,'Run Log'!D51&lt;&gt;""),'Run Log'!F51,NA())</f>
        <v>#N/A</v>
      </c>
      <c r="C56" s="16" t="e">
        <f>IF(AND('Run Log'!B51=$B$4,'Run Log'!C51=$B$5,'Run Log'!D51&lt;&gt;""),'Run Log'!G51,NA())</f>
        <v>#N/A</v>
      </c>
      <c r="D56" s="16" t="e">
        <f>IF(AND('Run Log'!B51=$B$4,'Run Log'!C51=$B$5,'Run Log'!D51&lt;&gt;""),'Run Log'!H51,NA())</f>
        <v>#N/A</v>
      </c>
    </row>
    <row r="57" spans="1:4" x14ac:dyDescent="0.2">
      <c r="A57" s="15" t="e">
        <f>IF(AND('Run Log'!B52=$B$4,'Run Log'!C52=$B$5,'Run Log'!D52&lt;&gt;""),'Run Log'!D52,NA())</f>
        <v>#N/A</v>
      </c>
      <c r="B57" s="15" t="e">
        <f>IF(AND('Run Log'!B52=$B$4,'Run Log'!C52=$B$5,'Run Log'!D52&lt;&gt;""),'Run Log'!F52,NA())</f>
        <v>#N/A</v>
      </c>
      <c r="C57" s="16" t="e">
        <f>IF(AND('Run Log'!B52=$B$4,'Run Log'!C52=$B$5,'Run Log'!D52&lt;&gt;""),'Run Log'!G52,NA())</f>
        <v>#N/A</v>
      </c>
      <c r="D57" s="16" t="e">
        <f>IF(AND('Run Log'!B52=$B$4,'Run Log'!C52=$B$5,'Run Log'!D52&lt;&gt;""),'Run Log'!H52,NA())</f>
        <v>#N/A</v>
      </c>
    </row>
    <row r="58" spans="1:4" x14ac:dyDescent="0.2">
      <c r="A58" s="15" t="e">
        <f>IF(AND('Run Log'!B53=$B$4,'Run Log'!C53=$B$5,'Run Log'!D53&lt;&gt;""),'Run Log'!D53,NA())</f>
        <v>#N/A</v>
      </c>
      <c r="B58" s="15" t="e">
        <f>IF(AND('Run Log'!B53=$B$4,'Run Log'!C53=$B$5,'Run Log'!D53&lt;&gt;""),'Run Log'!F53,NA())</f>
        <v>#N/A</v>
      </c>
      <c r="C58" s="16" t="e">
        <f>IF(AND('Run Log'!B53=$B$4,'Run Log'!C53=$B$5,'Run Log'!D53&lt;&gt;""),'Run Log'!G53,NA())</f>
        <v>#N/A</v>
      </c>
      <c r="D58" s="16" t="e">
        <f>IF(AND('Run Log'!B53=$B$4,'Run Log'!C53=$B$5,'Run Log'!D53&lt;&gt;""),'Run Log'!H53,NA())</f>
        <v>#N/A</v>
      </c>
    </row>
    <row r="59" spans="1:4" x14ac:dyDescent="0.2">
      <c r="A59" s="15" t="e">
        <f>IF(AND('Run Log'!B54=$B$4,'Run Log'!C54=$B$5,'Run Log'!D54&lt;&gt;""),'Run Log'!D54,NA())</f>
        <v>#N/A</v>
      </c>
      <c r="B59" s="15" t="e">
        <f>IF(AND('Run Log'!B54=$B$4,'Run Log'!C54=$B$5,'Run Log'!D54&lt;&gt;""),'Run Log'!F54,NA())</f>
        <v>#N/A</v>
      </c>
      <c r="C59" s="16" t="e">
        <f>IF(AND('Run Log'!B54=$B$4,'Run Log'!C54=$B$5,'Run Log'!D54&lt;&gt;""),'Run Log'!G54,NA())</f>
        <v>#N/A</v>
      </c>
      <c r="D59" s="16" t="e">
        <f>IF(AND('Run Log'!B54=$B$4,'Run Log'!C54=$B$5,'Run Log'!D54&lt;&gt;""),'Run Log'!H54,NA())</f>
        <v>#N/A</v>
      </c>
    </row>
    <row r="60" spans="1:4" x14ac:dyDescent="0.2">
      <c r="A60" s="15" t="e">
        <f>IF(AND('Run Log'!B55=$B$4,'Run Log'!C55=$B$5,'Run Log'!D55&lt;&gt;""),'Run Log'!D55,NA())</f>
        <v>#N/A</v>
      </c>
      <c r="B60" s="15" t="e">
        <f>IF(AND('Run Log'!B55=$B$4,'Run Log'!C55=$B$5,'Run Log'!D55&lt;&gt;""),'Run Log'!F55,NA())</f>
        <v>#N/A</v>
      </c>
      <c r="C60" s="16" t="e">
        <f>IF(AND('Run Log'!B55=$B$4,'Run Log'!C55=$B$5,'Run Log'!D55&lt;&gt;""),'Run Log'!G55,NA())</f>
        <v>#N/A</v>
      </c>
      <c r="D60" s="16" t="e">
        <f>IF(AND('Run Log'!B55=$B$4,'Run Log'!C55=$B$5,'Run Log'!D55&lt;&gt;""),'Run Log'!H55,NA())</f>
        <v>#N/A</v>
      </c>
    </row>
    <row r="61" spans="1:4" x14ac:dyDescent="0.2">
      <c r="A61" s="15" t="e">
        <f>IF(AND('Run Log'!B56=$B$4,'Run Log'!C56=$B$5,'Run Log'!D56&lt;&gt;""),'Run Log'!D56,NA())</f>
        <v>#N/A</v>
      </c>
      <c r="B61" s="15" t="e">
        <f>IF(AND('Run Log'!B56=$B$4,'Run Log'!C56=$B$5,'Run Log'!D56&lt;&gt;""),'Run Log'!F56,NA())</f>
        <v>#N/A</v>
      </c>
      <c r="C61" s="16" t="e">
        <f>IF(AND('Run Log'!B56=$B$4,'Run Log'!C56=$B$5,'Run Log'!D56&lt;&gt;""),'Run Log'!G56,NA())</f>
        <v>#N/A</v>
      </c>
      <c r="D61" s="16" t="e">
        <f>IF(AND('Run Log'!B56=$B$4,'Run Log'!C56=$B$5,'Run Log'!D56&lt;&gt;""),'Run Log'!H56,NA())</f>
        <v>#N/A</v>
      </c>
    </row>
    <row r="62" spans="1:4" x14ac:dyDescent="0.2">
      <c r="A62" s="15" t="e">
        <f>IF(AND('Run Log'!B57=$B$4,'Run Log'!C57=$B$5,'Run Log'!D57&lt;&gt;""),'Run Log'!D57,NA())</f>
        <v>#N/A</v>
      </c>
      <c r="B62" s="15" t="e">
        <f>IF(AND('Run Log'!B57=$B$4,'Run Log'!C57=$B$5,'Run Log'!D57&lt;&gt;""),'Run Log'!F57,NA())</f>
        <v>#N/A</v>
      </c>
      <c r="C62" s="16" t="e">
        <f>IF(AND('Run Log'!B57=$B$4,'Run Log'!C57=$B$5,'Run Log'!D57&lt;&gt;""),'Run Log'!G57,NA())</f>
        <v>#N/A</v>
      </c>
      <c r="D62" s="16" t="e">
        <f>IF(AND('Run Log'!B57=$B$4,'Run Log'!C57=$B$5,'Run Log'!D57&lt;&gt;""),'Run Log'!H57,NA())</f>
        <v>#N/A</v>
      </c>
    </row>
    <row r="63" spans="1:4" x14ac:dyDescent="0.2">
      <c r="A63" s="15" t="e">
        <f>IF(AND('Run Log'!B58=$B$4,'Run Log'!C58=$B$5,'Run Log'!D58&lt;&gt;""),'Run Log'!D58,NA())</f>
        <v>#N/A</v>
      </c>
      <c r="B63" s="15" t="e">
        <f>IF(AND('Run Log'!B58=$B$4,'Run Log'!C58=$B$5,'Run Log'!D58&lt;&gt;""),'Run Log'!F58,NA())</f>
        <v>#N/A</v>
      </c>
      <c r="C63" s="16" t="e">
        <f>IF(AND('Run Log'!B58=$B$4,'Run Log'!C58=$B$5,'Run Log'!D58&lt;&gt;""),'Run Log'!G58,NA())</f>
        <v>#N/A</v>
      </c>
      <c r="D63" s="16" t="e">
        <f>IF(AND('Run Log'!B58=$B$4,'Run Log'!C58=$B$5,'Run Log'!D58&lt;&gt;""),'Run Log'!H58,NA())</f>
        <v>#N/A</v>
      </c>
    </row>
    <row r="64" spans="1:4" x14ac:dyDescent="0.2">
      <c r="A64" s="15" t="e">
        <f>IF(AND('Run Log'!B59=$B$4,'Run Log'!C59=$B$5,'Run Log'!D59&lt;&gt;""),'Run Log'!D59,NA())</f>
        <v>#N/A</v>
      </c>
      <c r="B64" s="15" t="e">
        <f>IF(AND('Run Log'!B59=$B$4,'Run Log'!C59=$B$5,'Run Log'!D59&lt;&gt;""),'Run Log'!F59,NA())</f>
        <v>#N/A</v>
      </c>
      <c r="C64" s="16" t="e">
        <f>IF(AND('Run Log'!B59=$B$4,'Run Log'!C59=$B$5,'Run Log'!D59&lt;&gt;""),'Run Log'!G59,NA())</f>
        <v>#N/A</v>
      </c>
      <c r="D64" s="16" t="e">
        <f>IF(AND('Run Log'!B59=$B$4,'Run Log'!C59=$B$5,'Run Log'!D59&lt;&gt;""),'Run Log'!H59,NA())</f>
        <v>#N/A</v>
      </c>
    </row>
    <row r="65" spans="1:4" x14ac:dyDescent="0.2">
      <c r="A65" s="15" t="e">
        <f>IF(AND('Run Log'!B60=$B$4,'Run Log'!C60=$B$5,'Run Log'!D60&lt;&gt;""),'Run Log'!D60,NA())</f>
        <v>#N/A</v>
      </c>
      <c r="B65" s="15" t="e">
        <f>IF(AND('Run Log'!B60=$B$4,'Run Log'!C60=$B$5,'Run Log'!D60&lt;&gt;""),'Run Log'!F60,NA())</f>
        <v>#N/A</v>
      </c>
      <c r="C65" s="16" t="e">
        <f>IF(AND('Run Log'!B60=$B$4,'Run Log'!C60=$B$5,'Run Log'!D60&lt;&gt;""),'Run Log'!G60,NA())</f>
        <v>#N/A</v>
      </c>
      <c r="D65" s="16" t="e">
        <f>IF(AND('Run Log'!B60=$B$4,'Run Log'!C60=$B$5,'Run Log'!D60&lt;&gt;""),'Run Log'!H60,NA())</f>
        <v>#N/A</v>
      </c>
    </row>
    <row r="66" spans="1:4" x14ac:dyDescent="0.2">
      <c r="A66" s="15" t="e">
        <f>IF(AND('Run Log'!B61=$B$4,'Run Log'!C61=$B$5,'Run Log'!D61&lt;&gt;""),'Run Log'!D61,NA())</f>
        <v>#N/A</v>
      </c>
      <c r="B66" s="15" t="e">
        <f>IF(AND('Run Log'!B61=$B$4,'Run Log'!C61=$B$5,'Run Log'!D61&lt;&gt;""),'Run Log'!F61,NA())</f>
        <v>#N/A</v>
      </c>
      <c r="C66" s="16" t="e">
        <f>IF(AND('Run Log'!B61=$B$4,'Run Log'!C61=$B$5,'Run Log'!D61&lt;&gt;""),'Run Log'!G61,NA())</f>
        <v>#N/A</v>
      </c>
      <c r="D66" s="16" t="e">
        <f>IF(AND('Run Log'!B61=$B$4,'Run Log'!C61=$B$5,'Run Log'!D61&lt;&gt;""),'Run Log'!H61,NA())</f>
        <v>#N/A</v>
      </c>
    </row>
    <row r="67" spans="1:4" x14ac:dyDescent="0.2">
      <c r="A67" s="15" t="e">
        <f>IF(AND('Run Log'!B62=$B$4,'Run Log'!C62=$B$5,'Run Log'!D62&lt;&gt;""),'Run Log'!D62,NA())</f>
        <v>#N/A</v>
      </c>
      <c r="B67" s="15" t="e">
        <f>IF(AND('Run Log'!B62=$B$4,'Run Log'!C62=$B$5,'Run Log'!D62&lt;&gt;""),'Run Log'!F62,NA())</f>
        <v>#N/A</v>
      </c>
      <c r="C67" s="16" t="e">
        <f>IF(AND('Run Log'!B62=$B$4,'Run Log'!C62=$B$5,'Run Log'!D62&lt;&gt;""),'Run Log'!G62,NA())</f>
        <v>#N/A</v>
      </c>
      <c r="D67" s="16" t="e">
        <f>IF(AND('Run Log'!B62=$B$4,'Run Log'!C62=$B$5,'Run Log'!D62&lt;&gt;""),'Run Log'!H62,NA())</f>
        <v>#N/A</v>
      </c>
    </row>
    <row r="68" spans="1:4" x14ac:dyDescent="0.2">
      <c r="A68" s="15" t="e">
        <f>IF(AND('Run Log'!B63=$B$4,'Run Log'!C63=$B$5,'Run Log'!D63&lt;&gt;""),'Run Log'!D63,NA())</f>
        <v>#N/A</v>
      </c>
      <c r="B68" s="15" t="e">
        <f>IF(AND('Run Log'!B63=$B$4,'Run Log'!C63=$B$5,'Run Log'!D63&lt;&gt;""),'Run Log'!F63,NA())</f>
        <v>#N/A</v>
      </c>
      <c r="C68" s="16" t="e">
        <f>IF(AND('Run Log'!B63=$B$4,'Run Log'!C63=$B$5,'Run Log'!D63&lt;&gt;""),'Run Log'!G63,NA())</f>
        <v>#N/A</v>
      </c>
      <c r="D68" s="16" t="e">
        <f>IF(AND('Run Log'!B63=$B$4,'Run Log'!C63=$B$5,'Run Log'!D63&lt;&gt;""),'Run Log'!H63,NA())</f>
        <v>#N/A</v>
      </c>
    </row>
    <row r="69" spans="1:4" x14ac:dyDescent="0.2">
      <c r="A69" s="15" t="e">
        <f>IF(AND('Run Log'!B64=$B$4,'Run Log'!C64=$B$5,'Run Log'!D64&lt;&gt;""),'Run Log'!D64,NA())</f>
        <v>#N/A</v>
      </c>
      <c r="B69" s="15" t="e">
        <f>IF(AND('Run Log'!B64=$B$4,'Run Log'!C64=$B$5,'Run Log'!D64&lt;&gt;""),'Run Log'!F64,NA())</f>
        <v>#N/A</v>
      </c>
      <c r="C69" s="16" t="e">
        <f>IF(AND('Run Log'!B64=$B$4,'Run Log'!C64=$B$5,'Run Log'!D64&lt;&gt;""),'Run Log'!G64,NA())</f>
        <v>#N/A</v>
      </c>
      <c r="D69" s="16" t="e">
        <f>IF(AND('Run Log'!B64=$B$4,'Run Log'!C64=$B$5,'Run Log'!D64&lt;&gt;""),'Run Log'!H64,NA())</f>
        <v>#N/A</v>
      </c>
    </row>
    <row r="70" spans="1:4" x14ac:dyDescent="0.2">
      <c r="A70" s="15" t="e">
        <f>IF(AND('Run Log'!B65=$B$4,'Run Log'!C65=$B$5,'Run Log'!D65&lt;&gt;""),'Run Log'!D65,NA())</f>
        <v>#N/A</v>
      </c>
      <c r="B70" s="15" t="e">
        <f>IF(AND('Run Log'!B65=$B$4,'Run Log'!C65=$B$5,'Run Log'!D65&lt;&gt;""),'Run Log'!F65,NA())</f>
        <v>#N/A</v>
      </c>
      <c r="C70" s="16" t="e">
        <f>IF(AND('Run Log'!B65=$B$4,'Run Log'!C65=$B$5,'Run Log'!D65&lt;&gt;""),'Run Log'!G65,NA())</f>
        <v>#N/A</v>
      </c>
      <c r="D70" s="16" t="e">
        <f>IF(AND('Run Log'!B65=$B$4,'Run Log'!C65=$B$5,'Run Log'!D65&lt;&gt;""),'Run Log'!H65,NA())</f>
        <v>#N/A</v>
      </c>
    </row>
    <row r="71" spans="1:4" x14ac:dyDescent="0.2">
      <c r="A71" s="15" t="e">
        <f>IF(AND('Run Log'!B66=$B$4,'Run Log'!C66=$B$5,'Run Log'!D66&lt;&gt;""),'Run Log'!D66,NA())</f>
        <v>#N/A</v>
      </c>
      <c r="B71" s="15" t="e">
        <f>IF(AND('Run Log'!B66=$B$4,'Run Log'!C66=$B$5,'Run Log'!D66&lt;&gt;""),'Run Log'!F66,NA())</f>
        <v>#N/A</v>
      </c>
      <c r="C71" s="16" t="e">
        <f>IF(AND('Run Log'!B66=$B$4,'Run Log'!C66=$B$5,'Run Log'!D66&lt;&gt;""),'Run Log'!G66,NA())</f>
        <v>#N/A</v>
      </c>
      <c r="D71" s="16" t="e">
        <f>IF(AND('Run Log'!B66=$B$4,'Run Log'!C66=$B$5,'Run Log'!D66&lt;&gt;""),'Run Log'!H66,NA())</f>
        <v>#N/A</v>
      </c>
    </row>
    <row r="72" spans="1:4" x14ac:dyDescent="0.2">
      <c r="A72" s="15" t="e">
        <f>IF(AND('Run Log'!B67=$B$4,'Run Log'!C67=$B$5,'Run Log'!D67&lt;&gt;""),'Run Log'!D67,NA())</f>
        <v>#N/A</v>
      </c>
      <c r="B72" s="15" t="e">
        <f>IF(AND('Run Log'!B67=$B$4,'Run Log'!C67=$B$5,'Run Log'!D67&lt;&gt;""),'Run Log'!F67,NA())</f>
        <v>#N/A</v>
      </c>
      <c r="C72" s="16" t="e">
        <f>IF(AND('Run Log'!B67=$B$4,'Run Log'!C67=$B$5,'Run Log'!D67&lt;&gt;""),'Run Log'!G67,NA())</f>
        <v>#N/A</v>
      </c>
      <c r="D72" s="16" t="e">
        <f>IF(AND('Run Log'!B67=$B$4,'Run Log'!C67=$B$5,'Run Log'!D67&lt;&gt;""),'Run Log'!H67,NA())</f>
        <v>#N/A</v>
      </c>
    </row>
    <row r="73" spans="1:4" x14ac:dyDescent="0.2">
      <c r="A73" s="15" t="e">
        <f>IF(AND('Run Log'!B68=$B$4,'Run Log'!C68=$B$5,'Run Log'!D68&lt;&gt;""),'Run Log'!D68,NA())</f>
        <v>#N/A</v>
      </c>
      <c r="B73" s="15" t="e">
        <f>IF(AND('Run Log'!B68=$B$4,'Run Log'!C68=$B$5,'Run Log'!D68&lt;&gt;""),'Run Log'!F68,NA())</f>
        <v>#N/A</v>
      </c>
      <c r="C73" s="16" t="e">
        <f>IF(AND('Run Log'!B68=$B$4,'Run Log'!C68=$B$5,'Run Log'!D68&lt;&gt;""),'Run Log'!G68,NA())</f>
        <v>#N/A</v>
      </c>
      <c r="D73" s="16" t="e">
        <f>IF(AND('Run Log'!B68=$B$4,'Run Log'!C68=$B$5,'Run Log'!D68&lt;&gt;""),'Run Log'!H68,NA())</f>
        <v>#N/A</v>
      </c>
    </row>
    <row r="74" spans="1:4" x14ac:dyDescent="0.2">
      <c r="A74" s="15" t="e">
        <f>IF(AND('Run Log'!B69=$B$4,'Run Log'!C69=$B$5,'Run Log'!D69&lt;&gt;""),'Run Log'!D69,NA())</f>
        <v>#N/A</v>
      </c>
      <c r="B74" s="15" t="e">
        <f>IF(AND('Run Log'!B69=$B$4,'Run Log'!C69=$B$5,'Run Log'!D69&lt;&gt;""),'Run Log'!F69,NA())</f>
        <v>#N/A</v>
      </c>
      <c r="C74" s="16" t="e">
        <f>IF(AND('Run Log'!B69=$B$4,'Run Log'!C69=$B$5,'Run Log'!D69&lt;&gt;""),'Run Log'!G69,NA())</f>
        <v>#N/A</v>
      </c>
      <c r="D74" s="16" t="e">
        <f>IF(AND('Run Log'!B69=$B$4,'Run Log'!C69=$B$5,'Run Log'!D69&lt;&gt;""),'Run Log'!H69,NA())</f>
        <v>#N/A</v>
      </c>
    </row>
    <row r="75" spans="1:4" x14ac:dyDescent="0.2">
      <c r="A75" s="15" t="e">
        <f>IF(AND('Run Log'!B70=$B$4,'Run Log'!C70=$B$5,'Run Log'!D70&lt;&gt;""),'Run Log'!D70,NA())</f>
        <v>#N/A</v>
      </c>
      <c r="B75" s="15" t="e">
        <f>IF(AND('Run Log'!B70=$B$4,'Run Log'!C70=$B$5,'Run Log'!D70&lt;&gt;""),'Run Log'!F70,NA())</f>
        <v>#N/A</v>
      </c>
      <c r="C75" s="16" t="e">
        <f>IF(AND('Run Log'!B70=$B$4,'Run Log'!C70=$B$5,'Run Log'!D70&lt;&gt;""),'Run Log'!G70,NA())</f>
        <v>#N/A</v>
      </c>
      <c r="D75" s="16" t="e">
        <f>IF(AND('Run Log'!B70=$B$4,'Run Log'!C70=$B$5,'Run Log'!D70&lt;&gt;""),'Run Log'!H70,NA())</f>
        <v>#N/A</v>
      </c>
    </row>
    <row r="76" spans="1:4" x14ac:dyDescent="0.2">
      <c r="A76" s="15" t="e">
        <f>IF(AND('Run Log'!B71=$B$4,'Run Log'!C71=$B$5,'Run Log'!D71&lt;&gt;""),'Run Log'!D71,NA())</f>
        <v>#N/A</v>
      </c>
      <c r="B76" s="15" t="e">
        <f>IF(AND('Run Log'!B71=$B$4,'Run Log'!C71=$B$5,'Run Log'!D71&lt;&gt;""),'Run Log'!F71,NA())</f>
        <v>#N/A</v>
      </c>
      <c r="C76" s="16" t="e">
        <f>IF(AND('Run Log'!B71=$B$4,'Run Log'!C71=$B$5,'Run Log'!D71&lt;&gt;""),'Run Log'!G71,NA())</f>
        <v>#N/A</v>
      </c>
      <c r="D76" s="16" t="e">
        <f>IF(AND('Run Log'!B71=$B$4,'Run Log'!C71=$B$5,'Run Log'!D71&lt;&gt;""),'Run Log'!H71,NA())</f>
        <v>#N/A</v>
      </c>
    </row>
    <row r="77" spans="1:4" x14ac:dyDescent="0.2">
      <c r="A77" s="15" t="e">
        <f>IF(AND('Run Log'!B72=$B$4,'Run Log'!C72=$B$5,'Run Log'!D72&lt;&gt;""),'Run Log'!D72,NA())</f>
        <v>#N/A</v>
      </c>
      <c r="B77" s="15" t="e">
        <f>IF(AND('Run Log'!B72=$B$4,'Run Log'!C72=$B$5,'Run Log'!D72&lt;&gt;""),'Run Log'!F72,NA())</f>
        <v>#N/A</v>
      </c>
      <c r="C77" s="16" t="e">
        <f>IF(AND('Run Log'!B72=$B$4,'Run Log'!C72=$B$5,'Run Log'!D72&lt;&gt;""),'Run Log'!G72,NA())</f>
        <v>#N/A</v>
      </c>
      <c r="D77" s="16" t="e">
        <f>IF(AND('Run Log'!B72=$B$4,'Run Log'!C72=$B$5,'Run Log'!D72&lt;&gt;""),'Run Log'!H72,NA())</f>
        <v>#N/A</v>
      </c>
    </row>
    <row r="78" spans="1:4" x14ac:dyDescent="0.2">
      <c r="A78" s="15" t="e">
        <f>IF(AND('Run Log'!B73=$B$4,'Run Log'!C73=$B$5,'Run Log'!D73&lt;&gt;""),'Run Log'!D73,NA())</f>
        <v>#N/A</v>
      </c>
      <c r="B78" s="15" t="e">
        <f>IF(AND('Run Log'!B73=$B$4,'Run Log'!C73=$B$5,'Run Log'!D73&lt;&gt;""),'Run Log'!F73,NA())</f>
        <v>#N/A</v>
      </c>
      <c r="C78" s="16" t="e">
        <f>IF(AND('Run Log'!B73=$B$4,'Run Log'!C73=$B$5,'Run Log'!D73&lt;&gt;""),'Run Log'!G73,NA())</f>
        <v>#N/A</v>
      </c>
      <c r="D78" s="16" t="e">
        <f>IF(AND('Run Log'!B73=$B$4,'Run Log'!C73=$B$5,'Run Log'!D73&lt;&gt;""),'Run Log'!H73,NA())</f>
        <v>#N/A</v>
      </c>
    </row>
    <row r="79" spans="1:4" x14ac:dyDescent="0.2">
      <c r="A79" s="15" t="e">
        <f>IF(AND('Run Log'!B74=$B$4,'Run Log'!C74=$B$5,'Run Log'!D74&lt;&gt;""),'Run Log'!D74,NA())</f>
        <v>#N/A</v>
      </c>
      <c r="B79" s="15" t="e">
        <f>IF(AND('Run Log'!B74=$B$4,'Run Log'!C74=$B$5,'Run Log'!D74&lt;&gt;""),'Run Log'!F74,NA())</f>
        <v>#N/A</v>
      </c>
      <c r="C79" s="16" t="e">
        <f>IF(AND('Run Log'!B74=$B$4,'Run Log'!C74=$B$5,'Run Log'!D74&lt;&gt;""),'Run Log'!G74,NA())</f>
        <v>#N/A</v>
      </c>
      <c r="D79" s="16" t="e">
        <f>IF(AND('Run Log'!B74=$B$4,'Run Log'!C74=$B$5,'Run Log'!D74&lt;&gt;""),'Run Log'!H74,NA())</f>
        <v>#N/A</v>
      </c>
    </row>
    <row r="80" spans="1:4" x14ac:dyDescent="0.2">
      <c r="A80" s="15" t="e">
        <f>IF(AND('Run Log'!B75=$B$4,'Run Log'!C75=$B$5,'Run Log'!D75&lt;&gt;""),'Run Log'!D75,NA())</f>
        <v>#N/A</v>
      </c>
      <c r="B80" s="15" t="e">
        <f>IF(AND('Run Log'!B75=$B$4,'Run Log'!C75=$B$5,'Run Log'!D75&lt;&gt;""),'Run Log'!F75,NA())</f>
        <v>#N/A</v>
      </c>
      <c r="C80" s="16" t="e">
        <f>IF(AND('Run Log'!B75=$B$4,'Run Log'!C75=$B$5,'Run Log'!D75&lt;&gt;""),'Run Log'!G75,NA())</f>
        <v>#N/A</v>
      </c>
      <c r="D80" s="16" t="e">
        <f>IF(AND('Run Log'!B75=$B$4,'Run Log'!C75=$B$5,'Run Log'!D75&lt;&gt;""),'Run Log'!H75,NA())</f>
        <v>#N/A</v>
      </c>
    </row>
    <row r="81" spans="1:4" x14ac:dyDescent="0.2">
      <c r="A81" s="15" t="e">
        <f>IF(AND('Run Log'!B76=$B$4,'Run Log'!C76=$B$5,'Run Log'!D76&lt;&gt;""),'Run Log'!D76,NA())</f>
        <v>#N/A</v>
      </c>
      <c r="B81" s="15" t="e">
        <f>IF(AND('Run Log'!B76=$B$4,'Run Log'!C76=$B$5,'Run Log'!D76&lt;&gt;""),'Run Log'!F76,NA())</f>
        <v>#N/A</v>
      </c>
      <c r="C81" s="16" t="e">
        <f>IF(AND('Run Log'!B76=$B$4,'Run Log'!C76=$B$5,'Run Log'!D76&lt;&gt;""),'Run Log'!G76,NA())</f>
        <v>#N/A</v>
      </c>
      <c r="D81" s="16" t="e">
        <f>IF(AND('Run Log'!B76=$B$4,'Run Log'!C76=$B$5,'Run Log'!D76&lt;&gt;""),'Run Log'!H76,NA())</f>
        <v>#N/A</v>
      </c>
    </row>
    <row r="82" spans="1:4" x14ac:dyDescent="0.2">
      <c r="A82" s="15" t="e">
        <f>IF(AND('Run Log'!B77=$B$4,'Run Log'!C77=$B$5,'Run Log'!D77&lt;&gt;""),'Run Log'!D77,NA())</f>
        <v>#N/A</v>
      </c>
      <c r="B82" s="15" t="e">
        <f>IF(AND('Run Log'!B77=$B$4,'Run Log'!C77=$B$5,'Run Log'!D77&lt;&gt;""),'Run Log'!F77,NA())</f>
        <v>#N/A</v>
      </c>
      <c r="C82" s="16" t="e">
        <f>IF(AND('Run Log'!B77=$B$4,'Run Log'!C77=$B$5,'Run Log'!D77&lt;&gt;""),'Run Log'!G77,NA())</f>
        <v>#N/A</v>
      </c>
      <c r="D82" s="16" t="e">
        <f>IF(AND('Run Log'!B77=$B$4,'Run Log'!C77=$B$5,'Run Log'!D77&lt;&gt;""),'Run Log'!H77,NA())</f>
        <v>#N/A</v>
      </c>
    </row>
    <row r="83" spans="1:4" x14ac:dyDescent="0.2">
      <c r="A83" s="15" t="e">
        <f>IF(AND('Run Log'!B78=$B$4,'Run Log'!C78=$B$5,'Run Log'!D78&lt;&gt;""),'Run Log'!D78,NA())</f>
        <v>#N/A</v>
      </c>
      <c r="B83" s="15" t="e">
        <f>IF(AND('Run Log'!B78=$B$4,'Run Log'!C78=$B$5,'Run Log'!D78&lt;&gt;""),'Run Log'!F78,NA())</f>
        <v>#N/A</v>
      </c>
      <c r="C83" s="16" t="e">
        <f>IF(AND('Run Log'!B78=$B$4,'Run Log'!C78=$B$5,'Run Log'!D78&lt;&gt;""),'Run Log'!G78,NA())</f>
        <v>#N/A</v>
      </c>
      <c r="D83" s="16" t="e">
        <f>IF(AND('Run Log'!B78=$B$4,'Run Log'!C78=$B$5,'Run Log'!D78&lt;&gt;""),'Run Log'!H78,NA())</f>
        <v>#N/A</v>
      </c>
    </row>
    <row r="84" spans="1:4" x14ac:dyDescent="0.2">
      <c r="A84" s="15" t="e">
        <f>IF(AND('Run Log'!B79=$B$4,'Run Log'!C79=$B$5,'Run Log'!D79&lt;&gt;""),'Run Log'!D79,NA())</f>
        <v>#N/A</v>
      </c>
      <c r="B84" s="15" t="e">
        <f>IF(AND('Run Log'!B79=$B$4,'Run Log'!C79=$B$5,'Run Log'!D79&lt;&gt;""),'Run Log'!F79,NA())</f>
        <v>#N/A</v>
      </c>
      <c r="C84" s="16" t="e">
        <f>IF(AND('Run Log'!B79=$B$4,'Run Log'!C79=$B$5,'Run Log'!D79&lt;&gt;""),'Run Log'!G79,NA())</f>
        <v>#N/A</v>
      </c>
      <c r="D84" s="16" t="e">
        <f>IF(AND('Run Log'!B79=$B$4,'Run Log'!C79=$B$5,'Run Log'!D79&lt;&gt;""),'Run Log'!H79,NA())</f>
        <v>#N/A</v>
      </c>
    </row>
    <row r="85" spans="1:4" x14ac:dyDescent="0.2">
      <c r="A85" s="15" t="e">
        <f>IF(AND('Run Log'!B80=$B$4,'Run Log'!C80=$B$5,'Run Log'!D80&lt;&gt;""),'Run Log'!D80,NA())</f>
        <v>#N/A</v>
      </c>
      <c r="B85" s="15" t="e">
        <f>IF(AND('Run Log'!B80=$B$4,'Run Log'!C80=$B$5,'Run Log'!D80&lt;&gt;""),'Run Log'!F80,NA())</f>
        <v>#N/A</v>
      </c>
      <c r="C85" s="16" t="e">
        <f>IF(AND('Run Log'!B80=$B$4,'Run Log'!C80=$B$5,'Run Log'!D80&lt;&gt;""),'Run Log'!G80,NA())</f>
        <v>#N/A</v>
      </c>
      <c r="D85" s="16" t="e">
        <f>IF(AND('Run Log'!B80=$B$4,'Run Log'!C80=$B$5,'Run Log'!D80&lt;&gt;""),'Run Log'!H80,NA())</f>
        <v>#N/A</v>
      </c>
    </row>
    <row r="86" spans="1:4" x14ac:dyDescent="0.2">
      <c r="A86" s="15" t="e">
        <f>IF(AND('Run Log'!B81=$B$4,'Run Log'!C81=$B$5,'Run Log'!D81&lt;&gt;""),'Run Log'!D81,NA())</f>
        <v>#N/A</v>
      </c>
      <c r="B86" s="15" t="e">
        <f>IF(AND('Run Log'!B81=$B$4,'Run Log'!C81=$B$5,'Run Log'!D81&lt;&gt;""),'Run Log'!F81,NA())</f>
        <v>#N/A</v>
      </c>
      <c r="C86" s="16" t="e">
        <f>IF(AND('Run Log'!B81=$B$4,'Run Log'!C81=$B$5,'Run Log'!D81&lt;&gt;""),'Run Log'!G81,NA())</f>
        <v>#N/A</v>
      </c>
      <c r="D86" s="16" t="e">
        <f>IF(AND('Run Log'!B81=$B$4,'Run Log'!C81=$B$5,'Run Log'!D81&lt;&gt;""),'Run Log'!H81,NA())</f>
        <v>#N/A</v>
      </c>
    </row>
    <row r="87" spans="1:4" x14ac:dyDescent="0.2">
      <c r="A87" s="15" t="e">
        <f>IF(AND('Run Log'!B82=$B$4,'Run Log'!C82=$B$5,'Run Log'!D82&lt;&gt;""),'Run Log'!D82,NA())</f>
        <v>#N/A</v>
      </c>
      <c r="B87" s="15" t="e">
        <f>IF(AND('Run Log'!B82=$B$4,'Run Log'!C82=$B$5,'Run Log'!D82&lt;&gt;""),'Run Log'!F82,NA())</f>
        <v>#N/A</v>
      </c>
      <c r="C87" s="16" t="e">
        <f>IF(AND('Run Log'!B82=$B$4,'Run Log'!C82=$B$5,'Run Log'!D82&lt;&gt;""),'Run Log'!G82,NA())</f>
        <v>#N/A</v>
      </c>
      <c r="D87" s="16" t="e">
        <f>IF(AND('Run Log'!B82=$B$4,'Run Log'!C82=$B$5,'Run Log'!D82&lt;&gt;""),'Run Log'!H82,NA())</f>
        <v>#N/A</v>
      </c>
    </row>
    <row r="88" spans="1:4" x14ac:dyDescent="0.2">
      <c r="A88" s="15" t="e">
        <f>IF(AND('Run Log'!B83=$B$4,'Run Log'!C83=$B$5,'Run Log'!D83&lt;&gt;""),'Run Log'!D83,NA())</f>
        <v>#N/A</v>
      </c>
      <c r="B88" s="15" t="e">
        <f>IF(AND('Run Log'!B83=$B$4,'Run Log'!C83=$B$5,'Run Log'!D83&lt;&gt;""),'Run Log'!F83,NA())</f>
        <v>#N/A</v>
      </c>
      <c r="C88" s="16" t="e">
        <f>IF(AND('Run Log'!B83=$B$4,'Run Log'!C83=$B$5,'Run Log'!D83&lt;&gt;""),'Run Log'!G83,NA())</f>
        <v>#N/A</v>
      </c>
      <c r="D88" s="16" t="e">
        <f>IF(AND('Run Log'!B83=$B$4,'Run Log'!C83=$B$5,'Run Log'!D83&lt;&gt;""),'Run Log'!H83,NA())</f>
        <v>#N/A</v>
      </c>
    </row>
    <row r="89" spans="1:4" x14ac:dyDescent="0.2">
      <c r="A89" s="15" t="e">
        <f>IF(AND('Run Log'!B84=$B$4,'Run Log'!C84=$B$5,'Run Log'!D84&lt;&gt;""),'Run Log'!D84,NA())</f>
        <v>#N/A</v>
      </c>
      <c r="B89" s="15" t="e">
        <f>IF(AND('Run Log'!B84=$B$4,'Run Log'!C84=$B$5,'Run Log'!D84&lt;&gt;""),'Run Log'!F84,NA())</f>
        <v>#N/A</v>
      </c>
      <c r="C89" s="16" t="e">
        <f>IF(AND('Run Log'!B84=$B$4,'Run Log'!C84=$B$5,'Run Log'!D84&lt;&gt;""),'Run Log'!G84,NA())</f>
        <v>#N/A</v>
      </c>
      <c r="D89" s="16" t="e">
        <f>IF(AND('Run Log'!B84=$B$4,'Run Log'!C84=$B$5,'Run Log'!D84&lt;&gt;""),'Run Log'!H84,NA())</f>
        <v>#N/A</v>
      </c>
    </row>
    <row r="90" spans="1:4" x14ac:dyDescent="0.2">
      <c r="A90" s="15" t="e">
        <f>IF(AND('Run Log'!B85=$B$4,'Run Log'!C85=$B$5,'Run Log'!D85&lt;&gt;""),'Run Log'!D85,NA())</f>
        <v>#N/A</v>
      </c>
      <c r="B90" s="15" t="e">
        <f>IF(AND('Run Log'!B85=$B$4,'Run Log'!C85=$B$5,'Run Log'!D85&lt;&gt;""),'Run Log'!F85,NA())</f>
        <v>#N/A</v>
      </c>
      <c r="C90" s="16" t="e">
        <f>IF(AND('Run Log'!B85=$B$4,'Run Log'!C85=$B$5,'Run Log'!D85&lt;&gt;""),'Run Log'!G85,NA())</f>
        <v>#N/A</v>
      </c>
      <c r="D90" s="16" t="e">
        <f>IF(AND('Run Log'!B85=$B$4,'Run Log'!C85=$B$5,'Run Log'!D85&lt;&gt;""),'Run Log'!H85,NA())</f>
        <v>#N/A</v>
      </c>
    </row>
    <row r="91" spans="1:4" x14ac:dyDescent="0.2">
      <c r="A91" s="15" t="e">
        <f>IF(AND('Run Log'!B86=$B$4,'Run Log'!C86=$B$5,'Run Log'!D86&lt;&gt;""),'Run Log'!D86,NA())</f>
        <v>#N/A</v>
      </c>
      <c r="B91" s="15" t="e">
        <f>IF(AND('Run Log'!B86=$B$4,'Run Log'!C86=$B$5,'Run Log'!D86&lt;&gt;""),'Run Log'!F86,NA())</f>
        <v>#N/A</v>
      </c>
      <c r="C91" s="16" t="e">
        <f>IF(AND('Run Log'!B86=$B$4,'Run Log'!C86=$B$5,'Run Log'!D86&lt;&gt;""),'Run Log'!G86,NA())</f>
        <v>#N/A</v>
      </c>
      <c r="D91" s="16" t="e">
        <f>IF(AND('Run Log'!B86=$B$4,'Run Log'!C86=$B$5,'Run Log'!D86&lt;&gt;""),'Run Log'!H86,NA())</f>
        <v>#N/A</v>
      </c>
    </row>
    <row r="92" spans="1:4" x14ac:dyDescent="0.2">
      <c r="A92" s="15" t="e">
        <f>IF(AND('Run Log'!B87=$B$4,'Run Log'!C87=$B$5,'Run Log'!D87&lt;&gt;""),'Run Log'!D87,NA())</f>
        <v>#N/A</v>
      </c>
      <c r="B92" s="15" t="e">
        <f>IF(AND('Run Log'!B87=$B$4,'Run Log'!C87=$B$5,'Run Log'!D87&lt;&gt;""),'Run Log'!F87,NA())</f>
        <v>#N/A</v>
      </c>
      <c r="C92" s="16" t="e">
        <f>IF(AND('Run Log'!B87=$B$4,'Run Log'!C87=$B$5,'Run Log'!D87&lt;&gt;""),'Run Log'!G87,NA())</f>
        <v>#N/A</v>
      </c>
      <c r="D92" s="16" t="e">
        <f>IF(AND('Run Log'!B87=$B$4,'Run Log'!C87=$B$5,'Run Log'!D87&lt;&gt;""),'Run Log'!H87,NA())</f>
        <v>#N/A</v>
      </c>
    </row>
    <row r="93" spans="1:4" x14ac:dyDescent="0.2">
      <c r="A93" s="15" t="e">
        <f>IF(AND('Run Log'!B88=$B$4,'Run Log'!C88=$B$5,'Run Log'!D88&lt;&gt;""),'Run Log'!D88,NA())</f>
        <v>#N/A</v>
      </c>
      <c r="B93" s="15" t="e">
        <f>IF(AND('Run Log'!B88=$B$4,'Run Log'!C88=$B$5,'Run Log'!D88&lt;&gt;""),'Run Log'!F88,NA())</f>
        <v>#N/A</v>
      </c>
      <c r="C93" s="16" t="e">
        <f>IF(AND('Run Log'!B88=$B$4,'Run Log'!C88=$B$5,'Run Log'!D88&lt;&gt;""),'Run Log'!G88,NA())</f>
        <v>#N/A</v>
      </c>
      <c r="D93" s="16" t="e">
        <f>IF(AND('Run Log'!B88=$B$4,'Run Log'!C88=$B$5,'Run Log'!D88&lt;&gt;""),'Run Log'!H88,NA())</f>
        <v>#N/A</v>
      </c>
    </row>
    <row r="94" spans="1:4" x14ac:dyDescent="0.2">
      <c r="A94" s="15" t="e">
        <f>IF(AND('Run Log'!B89=$B$4,'Run Log'!C89=$B$5,'Run Log'!D89&lt;&gt;""),'Run Log'!D89,NA())</f>
        <v>#N/A</v>
      </c>
      <c r="B94" s="15" t="e">
        <f>IF(AND('Run Log'!B89=$B$4,'Run Log'!C89=$B$5,'Run Log'!D89&lt;&gt;""),'Run Log'!F89,NA())</f>
        <v>#N/A</v>
      </c>
      <c r="C94" s="16" t="e">
        <f>IF(AND('Run Log'!B89=$B$4,'Run Log'!C89=$B$5,'Run Log'!D89&lt;&gt;""),'Run Log'!G89,NA())</f>
        <v>#N/A</v>
      </c>
      <c r="D94" s="16" t="e">
        <f>IF(AND('Run Log'!B89=$B$4,'Run Log'!C89=$B$5,'Run Log'!D89&lt;&gt;""),'Run Log'!H89,NA())</f>
        <v>#N/A</v>
      </c>
    </row>
    <row r="95" spans="1:4" x14ac:dyDescent="0.2">
      <c r="A95" s="15" t="e">
        <f>IF(AND('Run Log'!B90=$B$4,'Run Log'!C90=$B$5,'Run Log'!D90&lt;&gt;""),'Run Log'!D90,NA())</f>
        <v>#N/A</v>
      </c>
      <c r="B95" s="15" t="e">
        <f>IF(AND('Run Log'!B90=$B$4,'Run Log'!C90=$B$5,'Run Log'!D90&lt;&gt;""),'Run Log'!F90,NA())</f>
        <v>#N/A</v>
      </c>
      <c r="C95" s="16" t="e">
        <f>IF(AND('Run Log'!B90=$B$4,'Run Log'!C90=$B$5,'Run Log'!D90&lt;&gt;""),'Run Log'!G90,NA())</f>
        <v>#N/A</v>
      </c>
      <c r="D95" s="16" t="e">
        <f>IF(AND('Run Log'!B90=$B$4,'Run Log'!C90=$B$5,'Run Log'!D90&lt;&gt;""),'Run Log'!H90,NA())</f>
        <v>#N/A</v>
      </c>
    </row>
    <row r="96" spans="1:4" x14ac:dyDescent="0.2">
      <c r="A96" s="15" t="e">
        <f>IF(AND('Run Log'!B91=$B$4,'Run Log'!C91=$B$5,'Run Log'!D91&lt;&gt;""),'Run Log'!D91,NA())</f>
        <v>#N/A</v>
      </c>
      <c r="B96" s="15" t="e">
        <f>IF(AND('Run Log'!B91=$B$4,'Run Log'!C91=$B$5,'Run Log'!D91&lt;&gt;""),'Run Log'!F91,NA())</f>
        <v>#N/A</v>
      </c>
      <c r="C96" s="16" t="e">
        <f>IF(AND('Run Log'!B91=$B$4,'Run Log'!C91=$B$5,'Run Log'!D91&lt;&gt;""),'Run Log'!G91,NA())</f>
        <v>#N/A</v>
      </c>
      <c r="D96" s="16" t="e">
        <f>IF(AND('Run Log'!B91=$B$4,'Run Log'!C91=$B$5,'Run Log'!D91&lt;&gt;""),'Run Log'!H91,NA())</f>
        <v>#N/A</v>
      </c>
    </row>
    <row r="97" spans="1:4" x14ac:dyDescent="0.2">
      <c r="A97" s="15" t="e">
        <f>IF(AND('Run Log'!B92=$B$4,'Run Log'!C92=$B$5,'Run Log'!D92&lt;&gt;""),'Run Log'!D92,NA())</f>
        <v>#N/A</v>
      </c>
      <c r="B97" s="15" t="e">
        <f>IF(AND('Run Log'!B92=$B$4,'Run Log'!C92=$B$5,'Run Log'!D92&lt;&gt;""),'Run Log'!F92,NA())</f>
        <v>#N/A</v>
      </c>
      <c r="C97" s="16" t="e">
        <f>IF(AND('Run Log'!B92=$B$4,'Run Log'!C92=$B$5,'Run Log'!D92&lt;&gt;""),'Run Log'!G92,NA())</f>
        <v>#N/A</v>
      </c>
      <c r="D97" s="16" t="e">
        <f>IF(AND('Run Log'!B92=$B$4,'Run Log'!C92=$B$5,'Run Log'!D92&lt;&gt;""),'Run Log'!H92,NA())</f>
        <v>#N/A</v>
      </c>
    </row>
    <row r="98" spans="1:4" x14ac:dyDescent="0.2">
      <c r="A98" s="15" t="e">
        <f>IF(AND('Run Log'!B93=$B$4,'Run Log'!C93=$B$5,'Run Log'!D93&lt;&gt;""),'Run Log'!D93,NA())</f>
        <v>#N/A</v>
      </c>
      <c r="B98" s="15" t="e">
        <f>IF(AND('Run Log'!B93=$B$4,'Run Log'!C93=$B$5,'Run Log'!D93&lt;&gt;""),'Run Log'!F93,NA())</f>
        <v>#N/A</v>
      </c>
      <c r="C98" s="16" t="e">
        <f>IF(AND('Run Log'!B93=$B$4,'Run Log'!C93=$B$5,'Run Log'!D93&lt;&gt;""),'Run Log'!G93,NA())</f>
        <v>#N/A</v>
      </c>
      <c r="D98" s="16" t="e">
        <f>IF(AND('Run Log'!B93=$B$4,'Run Log'!C93=$B$5,'Run Log'!D93&lt;&gt;""),'Run Log'!H93,NA())</f>
        <v>#N/A</v>
      </c>
    </row>
    <row r="99" spans="1:4" x14ac:dyDescent="0.2">
      <c r="A99" s="15" t="e">
        <f>IF(AND('Run Log'!B94=$B$4,'Run Log'!C94=$B$5,'Run Log'!D94&lt;&gt;""),'Run Log'!D94,NA())</f>
        <v>#N/A</v>
      </c>
      <c r="B99" s="15" t="e">
        <f>IF(AND('Run Log'!B94=$B$4,'Run Log'!C94=$B$5,'Run Log'!D94&lt;&gt;""),'Run Log'!F94,NA())</f>
        <v>#N/A</v>
      </c>
      <c r="C99" s="16" t="e">
        <f>IF(AND('Run Log'!B94=$B$4,'Run Log'!C94=$B$5,'Run Log'!D94&lt;&gt;""),'Run Log'!G94,NA())</f>
        <v>#N/A</v>
      </c>
      <c r="D99" s="16" t="e">
        <f>IF(AND('Run Log'!B94=$B$4,'Run Log'!C94=$B$5,'Run Log'!D94&lt;&gt;""),'Run Log'!H94,NA())</f>
        <v>#N/A</v>
      </c>
    </row>
    <row r="100" spans="1:4" x14ac:dyDescent="0.2">
      <c r="A100" s="15" t="e">
        <f>IF(AND('Run Log'!B95=$B$4,'Run Log'!C95=$B$5,'Run Log'!D95&lt;&gt;""),'Run Log'!D95,NA())</f>
        <v>#N/A</v>
      </c>
      <c r="B100" s="15" t="e">
        <f>IF(AND('Run Log'!B95=$B$4,'Run Log'!C95=$B$5,'Run Log'!D95&lt;&gt;""),'Run Log'!F95,NA())</f>
        <v>#N/A</v>
      </c>
      <c r="C100" s="16" t="e">
        <f>IF(AND('Run Log'!B95=$B$4,'Run Log'!C95=$B$5,'Run Log'!D95&lt;&gt;""),'Run Log'!G95,NA())</f>
        <v>#N/A</v>
      </c>
      <c r="D100" s="16" t="e">
        <f>IF(AND('Run Log'!B95=$B$4,'Run Log'!C95=$B$5,'Run Log'!D95&lt;&gt;""),'Run Log'!H95,NA())</f>
        <v>#N/A</v>
      </c>
    </row>
    <row r="101" spans="1:4" x14ac:dyDescent="0.2">
      <c r="A101" s="15" t="e">
        <f>IF(AND('Run Log'!B96=$B$4,'Run Log'!C96=$B$5,'Run Log'!D96&lt;&gt;""),'Run Log'!D96,NA())</f>
        <v>#N/A</v>
      </c>
      <c r="B101" s="15" t="e">
        <f>IF(AND('Run Log'!B96=$B$4,'Run Log'!C96=$B$5,'Run Log'!D96&lt;&gt;""),'Run Log'!F96,NA())</f>
        <v>#N/A</v>
      </c>
      <c r="C101" s="16" t="e">
        <f>IF(AND('Run Log'!B96=$B$4,'Run Log'!C96=$B$5,'Run Log'!D96&lt;&gt;""),'Run Log'!G96,NA())</f>
        <v>#N/A</v>
      </c>
      <c r="D101" s="16" t="e">
        <f>IF(AND('Run Log'!B96=$B$4,'Run Log'!C96=$B$5,'Run Log'!D96&lt;&gt;""),'Run Log'!H96,NA())</f>
        <v>#N/A</v>
      </c>
    </row>
    <row r="102" spans="1:4" x14ac:dyDescent="0.2">
      <c r="A102" s="15" t="e">
        <f>IF(AND('Run Log'!B97=$B$4,'Run Log'!C97=$B$5,'Run Log'!D97&lt;&gt;""),'Run Log'!D97,NA())</f>
        <v>#N/A</v>
      </c>
      <c r="B102" s="15" t="e">
        <f>IF(AND('Run Log'!B97=$B$4,'Run Log'!C97=$B$5,'Run Log'!D97&lt;&gt;""),'Run Log'!F97,NA())</f>
        <v>#N/A</v>
      </c>
      <c r="C102" s="16" t="e">
        <f>IF(AND('Run Log'!B97=$B$4,'Run Log'!C97=$B$5,'Run Log'!D97&lt;&gt;""),'Run Log'!G97,NA())</f>
        <v>#N/A</v>
      </c>
      <c r="D102" s="16" t="e">
        <f>IF(AND('Run Log'!B97=$B$4,'Run Log'!C97=$B$5,'Run Log'!D97&lt;&gt;""),'Run Log'!H97,NA())</f>
        <v>#N/A</v>
      </c>
    </row>
    <row r="103" spans="1:4" x14ac:dyDescent="0.2">
      <c r="A103" s="15" t="e">
        <f>IF(AND('Run Log'!B98=$B$4,'Run Log'!C98=$B$5,'Run Log'!D98&lt;&gt;""),'Run Log'!D98,NA())</f>
        <v>#N/A</v>
      </c>
      <c r="B103" s="15" t="e">
        <f>IF(AND('Run Log'!B98=$B$4,'Run Log'!C98=$B$5,'Run Log'!D98&lt;&gt;""),'Run Log'!F98,NA())</f>
        <v>#N/A</v>
      </c>
      <c r="C103" s="16" t="e">
        <f>IF(AND('Run Log'!B98=$B$4,'Run Log'!C98=$B$5,'Run Log'!D98&lt;&gt;""),'Run Log'!G98,NA())</f>
        <v>#N/A</v>
      </c>
      <c r="D103" s="16" t="e">
        <f>IF(AND('Run Log'!B98=$B$4,'Run Log'!C98=$B$5,'Run Log'!D98&lt;&gt;""),'Run Log'!H98,NA())</f>
        <v>#N/A</v>
      </c>
    </row>
    <row r="104" spans="1:4" x14ac:dyDescent="0.2">
      <c r="A104" s="15" t="e">
        <f>IF(AND('Run Log'!B99=$B$4,'Run Log'!C99=$B$5,'Run Log'!D99&lt;&gt;""),'Run Log'!D99,NA())</f>
        <v>#N/A</v>
      </c>
      <c r="B104" s="15" t="e">
        <f>IF(AND('Run Log'!B99=$B$4,'Run Log'!C99=$B$5,'Run Log'!D99&lt;&gt;""),'Run Log'!F99,NA())</f>
        <v>#N/A</v>
      </c>
      <c r="C104" s="16" t="e">
        <f>IF(AND('Run Log'!B99=$B$4,'Run Log'!C99=$B$5,'Run Log'!D99&lt;&gt;""),'Run Log'!G99,NA())</f>
        <v>#N/A</v>
      </c>
      <c r="D104" s="16" t="e">
        <f>IF(AND('Run Log'!B99=$B$4,'Run Log'!C99=$B$5,'Run Log'!D99&lt;&gt;""),'Run Log'!H99,NA())</f>
        <v>#N/A</v>
      </c>
    </row>
    <row r="105" spans="1:4" x14ac:dyDescent="0.2">
      <c r="A105" s="15" t="e">
        <f>IF(AND('Run Log'!B100=$B$4,'Run Log'!C100=$B$5,'Run Log'!D100&lt;&gt;""),'Run Log'!D100,NA())</f>
        <v>#N/A</v>
      </c>
      <c r="B105" s="15" t="e">
        <f>IF(AND('Run Log'!B100=$B$4,'Run Log'!C100=$B$5,'Run Log'!D100&lt;&gt;""),'Run Log'!F100,NA())</f>
        <v>#N/A</v>
      </c>
      <c r="C105" s="16" t="e">
        <f>IF(AND('Run Log'!B100=$B$4,'Run Log'!C100=$B$5,'Run Log'!D100&lt;&gt;""),'Run Log'!G100,NA())</f>
        <v>#N/A</v>
      </c>
      <c r="D105" s="16" t="e">
        <f>IF(AND('Run Log'!B100=$B$4,'Run Log'!C100=$B$5,'Run Log'!D100&lt;&gt;""),'Run Log'!H100,NA())</f>
        <v>#N/A</v>
      </c>
    </row>
    <row r="106" spans="1:4" x14ac:dyDescent="0.2">
      <c r="A106" s="15" t="e">
        <f>IF(AND('Run Log'!B101=$B$4,'Run Log'!C101=$B$5,'Run Log'!D101&lt;&gt;""),'Run Log'!D101,NA())</f>
        <v>#N/A</v>
      </c>
      <c r="B106" s="15" t="e">
        <f>IF(AND('Run Log'!B101=$B$4,'Run Log'!C101=$B$5,'Run Log'!D101&lt;&gt;""),'Run Log'!F101,NA())</f>
        <v>#N/A</v>
      </c>
      <c r="C106" s="16" t="e">
        <f>IF(AND('Run Log'!B101=$B$4,'Run Log'!C101=$B$5,'Run Log'!D101&lt;&gt;""),'Run Log'!G101,NA())</f>
        <v>#N/A</v>
      </c>
      <c r="D106" s="16" t="e">
        <f>IF(AND('Run Log'!B101=$B$4,'Run Log'!C101=$B$5,'Run Log'!D101&lt;&gt;""),'Run Log'!H101,NA())</f>
        <v>#N/A</v>
      </c>
    </row>
    <row r="107" spans="1:4" x14ac:dyDescent="0.2">
      <c r="A107" s="15" t="e">
        <f>IF(AND('Run Log'!B102=$B$4,'Run Log'!C102=$B$5,'Run Log'!D102&lt;&gt;""),'Run Log'!D102,NA())</f>
        <v>#N/A</v>
      </c>
      <c r="B107" s="15" t="e">
        <f>IF(AND('Run Log'!B102=$B$4,'Run Log'!C102=$B$5,'Run Log'!D102&lt;&gt;""),'Run Log'!F102,NA())</f>
        <v>#N/A</v>
      </c>
      <c r="C107" s="16" t="e">
        <f>IF(AND('Run Log'!B102=$B$4,'Run Log'!C102=$B$5,'Run Log'!D102&lt;&gt;""),'Run Log'!G102,NA())</f>
        <v>#N/A</v>
      </c>
      <c r="D107" s="16" t="e">
        <f>IF(AND('Run Log'!B102=$B$4,'Run Log'!C102=$B$5,'Run Log'!D102&lt;&gt;""),'Run Log'!H102,NA())</f>
        <v>#N/A</v>
      </c>
    </row>
    <row r="108" spans="1:4" x14ac:dyDescent="0.2">
      <c r="A108" s="15" t="e">
        <f>IF(AND('Run Log'!B103=$B$4,'Run Log'!C103=$B$5,'Run Log'!D103&lt;&gt;""),'Run Log'!D103,NA())</f>
        <v>#N/A</v>
      </c>
      <c r="B108" s="15" t="e">
        <f>IF(AND('Run Log'!B103=$B$4,'Run Log'!C103=$B$5,'Run Log'!D103&lt;&gt;""),'Run Log'!F103,NA())</f>
        <v>#N/A</v>
      </c>
      <c r="C108" s="16" t="e">
        <f>IF(AND('Run Log'!B103=$B$4,'Run Log'!C103=$B$5,'Run Log'!D103&lt;&gt;""),'Run Log'!G103,NA())</f>
        <v>#N/A</v>
      </c>
      <c r="D108" s="16" t="e">
        <f>IF(AND('Run Log'!B103=$B$4,'Run Log'!C103=$B$5,'Run Log'!D103&lt;&gt;""),'Run Log'!H103,NA())</f>
        <v>#N/A</v>
      </c>
    </row>
    <row r="109" spans="1:4" x14ac:dyDescent="0.2">
      <c r="A109" s="15" t="e">
        <f>IF(AND('Run Log'!B104=$B$4,'Run Log'!C104=$B$5,'Run Log'!D104&lt;&gt;""),'Run Log'!D104,NA())</f>
        <v>#N/A</v>
      </c>
      <c r="B109" s="15" t="e">
        <f>IF(AND('Run Log'!B104=$B$4,'Run Log'!C104=$B$5,'Run Log'!D104&lt;&gt;""),'Run Log'!F104,NA())</f>
        <v>#N/A</v>
      </c>
      <c r="C109" s="16" t="e">
        <f>IF(AND('Run Log'!B104=$B$4,'Run Log'!C104=$B$5,'Run Log'!D104&lt;&gt;""),'Run Log'!G104,NA())</f>
        <v>#N/A</v>
      </c>
      <c r="D109" s="16" t="e">
        <f>IF(AND('Run Log'!B104=$B$4,'Run Log'!C104=$B$5,'Run Log'!D104&lt;&gt;""),'Run Log'!H104,NA())</f>
        <v>#N/A</v>
      </c>
    </row>
  </sheetData>
  <sortState xmlns:xlrd2="http://schemas.microsoft.com/office/spreadsheetml/2017/richdata2" ref="A10:D15">
    <sortCondition ref="A10:A15"/>
  </sortState>
  <mergeCells count="1">
    <mergeCell ref="A1:H1"/>
  </mergeCells>
  <dataValidations count="2">
    <dataValidation type="list" sqref="B4" xr:uid="{00000000-0002-0000-0100-000000000000}">
      <formula1>"O,U"</formula1>
    </dataValidation>
    <dataValidation type="list" sqref="B5" xr:uid="{00000000-0002-0000-0100-000001000000}">
      <formula1>"100,110,111"</formula1>
    </dataValidation>
  </dataValidations>
  <pageMargins left="0.3" right="0.3" top="0.5" bottom="0.5" header="0.5" footer="0.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"/>
  <sheetViews>
    <sheetView showGridLines="0" workbookViewId="0">
      <selection activeCell="C29" sqref="C29"/>
    </sheetView>
  </sheetViews>
  <sheetFormatPr baseColWidth="10" defaultColWidth="8.83203125" defaultRowHeight="15" x14ac:dyDescent="0.2"/>
  <cols>
    <col min="1" max="1" width="4" customWidth="1"/>
    <col min="2" max="2" width="24" customWidth="1"/>
    <col min="3" max="3" width="78" customWidth="1"/>
    <col min="4" max="6" width="12" customWidth="1"/>
  </cols>
  <sheetData>
    <row r="1" spans="1:6" ht="30" customHeight="1" x14ac:dyDescent="0.3">
      <c r="A1" s="27" t="s">
        <v>34</v>
      </c>
      <c r="B1" s="25"/>
      <c r="C1" s="25"/>
      <c r="D1" s="25"/>
      <c r="E1" s="25"/>
      <c r="F1" s="25"/>
    </row>
    <row r="3" spans="1:6" ht="44" customHeight="1" x14ac:dyDescent="0.2">
      <c r="B3" s="19" t="s">
        <v>18</v>
      </c>
      <c r="C3" s="17" t="s">
        <v>19</v>
      </c>
    </row>
    <row r="4" spans="1:6" x14ac:dyDescent="0.2">
      <c r="B4" s="20"/>
    </row>
    <row r="5" spans="1:6" ht="44" customHeight="1" x14ac:dyDescent="0.2">
      <c r="B5" s="19" t="s">
        <v>20</v>
      </c>
      <c r="C5" s="17" t="s">
        <v>21</v>
      </c>
    </row>
    <row r="6" spans="1:6" x14ac:dyDescent="0.2">
      <c r="B6" s="20"/>
    </row>
    <row r="7" spans="1:6" ht="44" customHeight="1" x14ac:dyDescent="0.2">
      <c r="B7" s="19" t="s">
        <v>22</v>
      </c>
      <c r="C7" s="17" t="s">
        <v>23</v>
      </c>
    </row>
    <row r="8" spans="1:6" x14ac:dyDescent="0.2">
      <c r="B8" s="20"/>
    </row>
    <row r="9" spans="1:6" ht="44" customHeight="1" x14ac:dyDescent="0.2">
      <c r="B9" s="19" t="s">
        <v>24</v>
      </c>
      <c r="C9" s="17" t="s">
        <v>25</v>
      </c>
    </row>
    <row r="10" spans="1:6" x14ac:dyDescent="0.2">
      <c r="B10" s="20"/>
    </row>
    <row r="11" spans="1:6" ht="44" customHeight="1" x14ac:dyDescent="0.2">
      <c r="B11" s="19" t="s">
        <v>26</v>
      </c>
      <c r="C11" s="17" t="s">
        <v>27</v>
      </c>
    </row>
    <row r="12" spans="1:6" x14ac:dyDescent="0.2">
      <c r="B12" s="20"/>
    </row>
    <row r="13" spans="1:6" ht="64" customHeight="1" x14ac:dyDescent="0.2">
      <c r="B13" s="19" t="s">
        <v>28</v>
      </c>
      <c r="C13" s="17" t="s">
        <v>29</v>
      </c>
    </row>
    <row r="14" spans="1:6" x14ac:dyDescent="0.2">
      <c r="B14" s="20"/>
    </row>
    <row r="15" spans="1:6" ht="64" customHeight="1" x14ac:dyDescent="0.2">
      <c r="B15" s="19" t="s">
        <v>30</v>
      </c>
      <c r="C15" s="17" t="s">
        <v>31</v>
      </c>
    </row>
    <row r="16" spans="1:6" x14ac:dyDescent="0.2">
      <c r="B16" s="20"/>
    </row>
    <row r="17" spans="2:3" ht="35" customHeight="1" x14ac:dyDescent="0.2">
      <c r="B17" s="19" t="s">
        <v>32</v>
      </c>
      <c r="C17" s="18" t="s">
        <v>33</v>
      </c>
    </row>
  </sheetData>
  <mergeCells count="1">
    <mergeCell ref="A1:F1"/>
  </mergeCells>
  <pageMargins left="0.3" right="0.3" top="0.5" bottom="0.5" header="0.5" footer="0.5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88CEA-488B-094A-9D6A-4FC1AF5703EE}">
  <dimension ref="A1"/>
  <sheetViews>
    <sheetView tabSelected="1" zoomScale="62" workbookViewId="0">
      <selection activeCell="U19" sqref="U19"/>
    </sheetView>
  </sheetViews>
  <sheetFormatPr baseColWidth="10" defaultRowHeight="1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Run Log</vt:lpstr>
      <vt:lpstr>Dashboard</vt:lpstr>
      <vt:lpstr>Instructions</vt:lpstr>
      <vt:lpstr>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Neilson, William Donald</cp:lastModifiedBy>
  <dcterms:created xsi:type="dcterms:W3CDTF">2026-08-07T19:26:18Z</dcterms:created>
  <dcterms:modified xsi:type="dcterms:W3CDTF">2026-08-10T17:03:44Z</dcterms:modified>
</cp:coreProperties>
</file>